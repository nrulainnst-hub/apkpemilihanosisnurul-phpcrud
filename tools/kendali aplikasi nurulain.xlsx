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LARAGON\www\4 BASIS DATA\"/>
    </mc:Choice>
  </mc:AlternateContent>
  <xr:revisionPtr revIDLastSave="0" documentId="13_ncr:1_{292EDD54-BA8B-4C40-85BF-C8A6A2849ACC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B38" i="2" l="1"/>
  <c r="AD38" i="2" s="1"/>
  <c r="E37" i="2"/>
  <c r="B37" i="2"/>
  <c r="AD37" i="2" s="1"/>
  <c r="E36" i="2"/>
  <c r="B36" i="2"/>
  <c r="AD36" i="2" s="1"/>
  <c r="E35" i="2"/>
  <c r="B35" i="2"/>
  <c r="AD35" i="2" s="1"/>
  <c r="AD34" i="2"/>
  <c r="E34" i="2"/>
  <c r="B34" i="2"/>
  <c r="AD33" i="2"/>
  <c r="E33" i="2"/>
  <c r="B33" i="2"/>
  <c r="AD32" i="2"/>
  <c r="E32" i="2"/>
  <c r="B32" i="2"/>
  <c r="AD31" i="2"/>
  <c r="E31" i="2"/>
  <c r="B31" i="2"/>
  <c r="AD30" i="2"/>
  <c r="E30" i="2"/>
  <c r="B30" i="2"/>
  <c r="E29" i="2"/>
  <c r="B29" i="2"/>
  <c r="AD29" i="2" s="1"/>
  <c r="E28" i="2"/>
  <c r="B28" i="2"/>
  <c r="AD28" i="2" s="1"/>
  <c r="E27" i="2"/>
  <c r="B27" i="2"/>
  <c r="AD27" i="2" s="1"/>
  <c r="AD26" i="2"/>
  <c r="E26" i="2"/>
  <c r="B26" i="2"/>
  <c r="B25" i="2"/>
  <c r="AD25" i="2" s="1"/>
  <c r="E24" i="2"/>
  <c r="B24" i="2"/>
  <c r="AD24" i="2" s="1"/>
  <c r="AD23" i="2"/>
  <c r="E23" i="2"/>
  <c r="B23" i="2"/>
  <c r="AD22" i="2"/>
  <c r="E22" i="2"/>
  <c r="B22" i="2"/>
  <c r="AD21" i="2"/>
  <c r="E21" i="2"/>
  <c r="B21" i="2"/>
  <c r="AD20" i="2"/>
  <c r="E20" i="2"/>
  <c r="B20" i="2"/>
  <c r="AD19" i="2"/>
  <c r="E19" i="2"/>
  <c r="B19" i="2"/>
  <c r="E18" i="2"/>
  <c r="B18" i="2"/>
  <c r="AD18" i="2" s="1"/>
  <c r="E17" i="2"/>
  <c r="B17" i="2"/>
  <c r="AD17" i="2" s="1"/>
  <c r="E16" i="2"/>
  <c r="B16" i="2"/>
  <c r="AD16" i="2" s="1"/>
  <c r="AD15" i="2"/>
  <c r="E15" i="2"/>
  <c r="B15" i="2"/>
  <c r="AD14" i="2"/>
  <c r="E14" i="2"/>
  <c r="B14" i="2"/>
  <c r="AD13" i="2"/>
  <c r="E13" i="2"/>
  <c r="B13" i="2"/>
  <c r="AD12" i="2"/>
  <c r="E12" i="2"/>
  <c r="B12" i="2"/>
  <c r="AD11" i="2"/>
  <c r="E11" i="2"/>
  <c r="B11" i="2"/>
  <c r="E10" i="2"/>
  <c r="B10" i="2"/>
  <c r="AD10" i="2" s="1"/>
  <c r="E9" i="2"/>
  <c r="B9" i="2"/>
  <c r="AD9" i="2" s="1"/>
  <c r="E8" i="2"/>
  <c r="B8" i="2"/>
  <c r="AD8" i="2" s="1"/>
  <c r="AD7" i="2"/>
  <c r="E7" i="2"/>
  <c r="B7" i="2"/>
  <c r="AD6" i="2"/>
  <c r="E6" i="2"/>
  <c r="B6" i="2"/>
  <c r="AD5" i="2"/>
  <c r="E5" i="2"/>
  <c r="B5" i="2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<sst xmlns="http://schemas.openxmlformats.org/spreadsheetml/2006/main" count="1033" uniqueCount="413">
  <si>
    <t>BREAKDOWN FITUR PADA APLIKASI</t>
  </si>
  <si>
    <t>-</t>
  </si>
  <si>
    <t>BREAKDOWN TABEL PADA DATABASE</t>
  </si>
  <si>
    <t>APLIKASI PHP CRUD</t>
  </si>
  <si>
    <t>JUDUL APLIKASI LARAVEL XIRPL2 (GENAP)</t>
  </si>
  <si>
    <t>No</t>
  </si>
  <si>
    <t>NAMA</t>
  </si>
  <si>
    <t>Nama Pengembang</t>
  </si>
  <si>
    <t>TEMPAT/Divisi</t>
  </si>
  <si>
    <t>Narasumber</t>
  </si>
  <si>
    <t>Judul Aplikasi</t>
  </si>
  <si>
    <t>ERD</t>
  </si>
  <si>
    <t>Nama Aplikasi</t>
  </si>
  <si>
    <t>ERT</t>
  </si>
  <si>
    <t>PHP</t>
  </si>
  <si>
    <t>TABEL DI DB</t>
  </si>
  <si>
    <t>JUDUL APK</t>
  </si>
  <si>
    <t>OBJEK1</t>
  </si>
  <si>
    <t xml:space="preserve">Lokasi </t>
  </si>
  <si>
    <t>: SMKN 1 Karang Baru</t>
  </si>
  <si>
    <t>OBJEK2</t>
  </si>
  <si>
    <t>OBJEK3</t>
  </si>
  <si>
    <t>Mesin Databse</t>
  </si>
  <si>
    <t>OBJEK4</t>
  </si>
  <si>
    <t>: MySQL</t>
  </si>
  <si>
    <t>FITUR APLIKASI</t>
  </si>
  <si>
    <t>SUBJECT 1</t>
  </si>
  <si>
    <t>SUBJECT 2</t>
  </si>
  <si>
    <t>Bahasa Pemrograman</t>
  </si>
  <si>
    <t>: PHP Fundamental (CRUD)</t>
  </si>
  <si>
    <t>SUBJECT 3</t>
  </si>
  <si>
    <t>TRANSAKSI 1</t>
  </si>
  <si>
    <t>GIT</t>
  </si>
  <si>
    <t>TRANSAKSI 2</t>
  </si>
  <si>
    <t>FITUR</t>
  </si>
  <si>
    <t>TABEL UTAMA</t>
  </si>
  <si>
    <t>TABEL TERKAIT</t>
  </si>
  <si>
    <t>Tabel (Entitas)</t>
  </si>
  <si>
    <t>Koperasi</t>
  </si>
  <si>
    <t>Ahmadi Muslim</t>
  </si>
  <si>
    <t>Bu Teteh</t>
  </si>
  <si>
    <t>Atribut (Field)</t>
  </si>
  <si>
    <t>Web RPL</t>
  </si>
  <si>
    <t>Konten</t>
  </si>
  <si>
    <t>Komentar</t>
  </si>
  <si>
    <t>User</t>
  </si>
  <si>
    <t>user</t>
  </si>
  <si>
    <t>ADMIN</t>
  </si>
  <si>
    <t>PETUGAS</t>
  </si>
  <si>
    <t>Pengunjung</t>
  </si>
  <si>
    <t>Template/LP</t>
  </si>
  <si>
    <t>Login</t>
  </si>
  <si>
    <t>Register</t>
  </si>
  <si>
    <t>Dashboard</t>
  </si>
  <si>
    <t>Laporan</t>
  </si>
  <si>
    <t>admin</t>
  </si>
  <si>
    <t>pembeli</t>
  </si>
  <si>
    <t>produk</t>
  </si>
  <si>
    <t>kategori</t>
  </si>
  <si>
    <t>suplier</t>
  </si>
  <si>
    <t>transaksi</t>
  </si>
  <si>
    <t>detiltransaksi</t>
  </si>
  <si>
    <t>asal</t>
  </si>
  <si>
    <t>barang</t>
  </si>
  <si>
    <t>inventaris</t>
  </si>
  <si>
    <t>merk</t>
  </si>
  <si>
    <t>penjualan</t>
  </si>
  <si>
    <t>detilpenjualan</t>
  </si>
  <si>
    <t>semua tabel</t>
  </si>
  <si>
    <t>keterangan</t>
  </si>
  <si>
    <t>jabatan</t>
  </si>
  <si>
    <t>peminjam</t>
  </si>
  <si>
    <t>pelanggan</t>
  </si>
  <si>
    <t>alat</t>
  </si>
  <si>
    <t>peminjaman</t>
  </si>
  <si>
    <t>detilpeminjaman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</si>
  <si>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</si>
  <si>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</si>
  <si>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</si>
  <si>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</si>
  <si>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</si>
  <si>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</si>
  <si>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</si>
  <si>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bu linda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</si>
  <si>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</si>
  <si>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</si>
  <si>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</si>
  <si>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</si>
  <si>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</si>
  <si>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</si>
  <si>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</si>
  <si>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</si>
  <si>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</si>
  <si>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</si>
  <si>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</si>
  <si>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</si>
  <si>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bu sri</t>
  </si>
  <si>
    <t>Alya 'Aqila Zulfaa</t>
  </si>
  <si>
    <t>Surat izin siswa</t>
  </si>
  <si>
    <t>suratizin</t>
  </si>
  <si>
    <t>kelas</t>
  </si>
  <si>
    <t>siswa</t>
  </si>
  <si>
    <t xml:space="preserve">Pengajuan </t>
  </si>
  <si>
    <t xml:space="preserve">Persetujuan </t>
  </si>
  <si>
    <t>Amelia Fathar Nst</t>
  </si>
  <si>
    <t>Jadwal Pelajaran</t>
  </si>
  <si>
    <t>mapel</t>
  </si>
  <si>
    <t>ruangan</t>
  </si>
  <si>
    <t>guru</t>
  </si>
  <si>
    <t>bu ersa</t>
  </si>
  <si>
    <t>penjadwalan</t>
  </si>
  <si>
    <t>detiljadwal</t>
  </si>
  <si>
    <t>Cahaya Putri Asyasyuara E.</t>
  </si>
  <si>
    <t>Perpustakaan</t>
  </si>
  <si>
    <t>buku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</si>
  <si>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</si>
  <si>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</si>
  <si>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</si>
  <si>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</si>
  <si>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</si>
  <si>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</si>
  <si>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</si>
  <si>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</si>
  <si>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</si>
  <si>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</si>
  <si>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Faldan Affadil</t>
  </si>
  <si>
    <t>piket guru</t>
  </si>
  <si>
    <t>jadwalpiket</t>
  </si>
  <si>
    <t xml:space="preserve">jam </t>
  </si>
  <si>
    <t>buk ana</t>
  </si>
  <si>
    <t>Gella Meylita</t>
  </si>
  <si>
    <t>Absen OSIS</t>
  </si>
  <si>
    <t>absen</t>
  </si>
  <si>
    <t>anggota</t>
  </si>
  <si>
    <t>kegiatan</t>
  </si>
  <si>
    <t>Haikhal Syahputra</t>
  </si>
  <si>
    <t>sekolah</t>
  </si>
  <si>
    <t>Hayfa Sakhiy</t>
  </si>
  <si>
    <t>web Ekskul</t>
  </si>
  <si>
    <t>Mariescha Najwaa</t>
  </si>
  <si>
    <t>kesiswaan</t>
  </si>
  <si>
    <t>lapor kebersihan</t>
  </si>
  <si>
    <t>bu har</t>
  </si>
  <si>
    <t>lokasi</t>
  </si>
  <si>
    <t>laporan</t>
  </si>
  <si>
    <t>penanganan</t>
  </si>
  <si>
    <t>Maya</t>
  </si>
  <si>
    <t>Keterlambatan siswa</t>
  </si>
  <si>
    <t>jadwal</t>
  </si>
  <si>
    <t>keterlambatan</t>
  </si>
  <si>
    <t>Miftahul Zannah</t>
  </si>
  <si>
    <t>buku tamu</t>
  </si>
  <si>
    <t>pengisianbuku</t>
  </si>
  <si>
    <t>Nazwa Ramadhani</t>
  </si>
  <si>
    <t>catat pelanggaran</t>
  </si>
  <si>
    <t>walimurid</t>
  </si>
  <si>
    <t>pelanggaran</t>
  </si>
  <si>
    <t>ruang osis</t>
  </si>
  <si>
    <t>buk maya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</si>
  <si>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</si>
  <si>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</si>
  <si>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</si>
  <si>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</si>
  <si>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</si>
  <si>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</si>
  <si>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jadwal pelajaran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</si>
  <si>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</si>
  <si>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</si>
  <si>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</si>
  <si>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</si>
  <si>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</si>
  <si>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</si>
  <si>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</si>
  <si>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</si>
  <si>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</si>
  <si>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</si>
  <si>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web ekskul</t>
  </si>
  <si>
    <t>LMS</t>
  </si>
  <si>
    <t>bu maya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</si>
  <si>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</si>
  <si>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</si>
  <si>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</si>
  <si>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</si>
  <si>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</si>
  <si>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</si>
  <si>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</si>
  <si>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</si>
  <si>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</si>
  <si>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</si>
  <si>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</si>
  <si>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</si>
  <si>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pak mahdi</t>
  </si>
  <si>
    <t>agenda</t>
  </si>
  <si>
    <t>Shifa Rahmadani</t>
  </si>
  <si>
    <t>Pengajuan Perlengkapan Alat LAB</t>
  </si>
  <si>
    <t>lab</t>
  </si>
  <si>
    <t>detailtransaksi</t>
  </si>
  <si>
    <t>Tasya Aulia Putri</t>
  </si>
  <si>
    <t>izin keluar kelas</t>
  </si>
  <si>
    <t>bu icha</t>
  </si>
  <si>
    <t>Izin</t>
  </si>
  <si>
    <t>Teuku Abdul Razaq</t>
  </si>
  <si>
    <t>peminjaman alat sarana</t>
  </si>
  <si>
    <t>TU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</si>
  <si>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</si>
  <si>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</si>
  <si>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</si>
  <si>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</si>
  <si>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</si>
  <si>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</si>
  <si>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</si>
  <si>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</si>
  <si>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</si>
  <si>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</si>
  <si>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</si>
  <si>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</si>
  <si>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</si>
  <si>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</si>
  <si>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</si>
  <si>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buk icha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</si>
  <si>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</si>
  <si>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</si>
  <si>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</si>
  <si>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</si>
  <si>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</si>
  <si>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</si>
  <si>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</si>
  <si>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</si>
  <si>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</si>
  <si>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</si>
  <si>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</si>
  <si>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</si>
  <si>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uks</t>
  </si>
  <si>
    <t>--</t>
  </si>
  <si>
    <t>Nama</t>
  </si>
  <si>
    <t>kantor guru</t>
  </si>
  <si>
    <t>mem mimi</t>
  </si>
  <si>
    <t>Subjek</t>
  </si>
  <si>
    <t>Adita Dwi Rezeki P</t>
  </si>
  <si>
    <t>DDL1</t>
  </si>
  <si>
    <t>Aditya Gufran</t>
  </si>
  <si>
    <t>TCL</t>
  </si>
  <si>
    <t>Al Adlu Vitrah</t>
  </si>
  <si>
    <t>DCL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</si>
  <si>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</si>
  <si>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</si>
  <si>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</si>
  <si>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</si>
  <si>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</si>
  <si>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</si>
  <si>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</si>
  <si>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Jihan Raihanah</t>
  </si>
  <si>
    <t>M. Fahri</t>
  </si>
  <si>
    <t>buk eli uks</t>
  </si>
  <si>
    <t>DDL2</t>
  </si>
  <si>
    <t>M. Rifki</t>
  </si>
  <si>
    <t>M. Sulthan</t>
  </si>
  <si>
    <t>ruangan osis</t>
  </si>
  <si>
    <t>Nabila Putri</t>
  </si>
  <si>
    <t>Putri Amelia</t>
  </si>
  <si>
    <t>Rina Ramadani</t>
  </si>
  <si>
    <t>sarana</t>
  </si>
  <si>
    <t>buk nurul azizah</t>
  </si>
  <si>
    <t>Ryan Fahlevi</t>
  </si>
  <si>
    <t>Sherly Amanda Elysia</t>
  </si>
  <si>
    <t>Sri Ariyani</t>
  </si>
  <si>
    <t>ruang kelas</t>
  </si>
  <si>
    <t>ma'am minarti</t>
  </si>
  <si>
    <t>T. Amylia Safitri</t>
  </si>
  <si>
    <t>Windi Safira</t>
  </si>
  <si>
    <t>Zahwa Maila Puspita</t>
  </si>
  <si>
    <t>mam minarti</t>
  </si>
  <si>
    <t>kantin</t>
  </si>
  <si>
    <t>UKS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</si>
  <si>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</si>
  <si>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</si>
  <si>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</si>
  <si>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</si>
  <si>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</si>
  <si>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</si>
  <si>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</si>
  <si>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</si>
  <si>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</si>
  <si>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</si>
  <si>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</si>
  <si>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</si>
  <si>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</si>
  <si>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</si>
  <si>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</si>
  <si>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</si>
  <si>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</si>
  <si>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</si>
  <si>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</si>
  <si>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</si>
  <si>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</si>
  <si>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</si>
  <si>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</si>
  <si>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</si>
  <si>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</si>
  <si>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</si>
  <si>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</si>
  <si>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</si>
  <si>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</si>
  <si>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</si>
  <si>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</si>
  <si>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</si>
  <si>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</si>
  <si>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</si>
  <si>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</si>
  <si>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</si>
  <si>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</si>
  <si>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</si>
  <si>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</si>
  <si>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</si>
  <si>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</si>
  <si>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</si>
  <si>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password</t>
  </si>
  <si>
    <t>varchar(100)</t>
  </si>
  <si>
    <t>varchar(50)</t>
  </si>
  <si>
    <t>varchar(255)</t>
  </si>
  <si>
    <t>foto</t>
  </si>
  <si>
    <t>namajabatan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</si>
  <si>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</si>
  <si>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</si>
  <si>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</si>
  <si>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</si>
  <si>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</si>
  <si>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</si>
  <si>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</si>
  <si>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</si>
  <si>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</si>
  <si>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</si>
  <si>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</si>
  <si>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</si>
  <si>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</si>
  <si>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</si>
  <si>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</si>
  <si>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</si>
  <si>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</si>
  <si>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</si>
  <si>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</si>
  <si>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</si>
  <si>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</si>
  <si>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</si>
  <si>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</si>
  <si>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</si>
  <si>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</si>
  <si>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</si>
  <si>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</si>
  <si>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</si>
  <si>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</si>
  <si>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</si>
  <si>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</si>
  <si>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</si>
  <si>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</si>
  <si>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</si>
  <si>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</si>
  <si>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: nurul aini nst</t>
  </si>
  <si>
    <t>iduser</t>
  </si>
  <si>
    <t>passworsd</t>
  </si>
  <si>
    <t>namauser</t>
  </si>
  <si>
    <t>pk</t>
  </si>
  <si>
    <t>fk</t>
  </si>
  <si>
    <t>idkandidat</t>
  </si>
  <si>
    <t>idpemilihan</t>
  </si>
  <si>
    <t>nisn</t>
  </si>
  <si>
    <t>statuspemilih</t>
  </si>
  <si>
    <t>nomorurut</t>
  </si>
  <si>
    <t>visi</t>
  </si>
  <si>
    <t>misi</t>
  </si>
  <si>
    <t>tanggalpemilihan</t>
  </si>
  <si>
    <t>nama</t>
  </si>
  <si>
    <t>role</t>
  </si>
  <si>
    <t xml:space="preserve"> </t>
  </si>
  <si>
    <t xml:space="preserve">detailpemilihan </t>
  </si>
  <si>
    <t>iddetailpemilihan</t>
  </si>
  <si>
    <t xml:space="preserve">siswa </t>
  </si>
  <si>
    <t>idguru</t>
  </si>
  <si>
    <t>idsiswa</t>
  </si>
  <si>
    <t>namasiswa</t>
  </si>
  <si>
    <t>admin,petugas</t>
  </si>
  <si>
    <t>namaguru</t>
  </si>
  <si>
    <t>nip</t>
  </si>
  <si>
    <t>: pemilihan osis nurul</t>
  </si>
  <si>
    <t xml:space="preserve">PEMILIH </t>
  </si>
  <si>
    <t>sudah/belum</t>
  </si>
  <si>
    <t>TAMU</t>
  </si>
  <si>
    <t>USECASE(ROLE)</t>
  </si>
  <si>
    <t>KETERANGAN</t>
  </si>
  <si>
    <t xml:space="preserve">: pemilihan osis </t>
  </si>
  <si>
    <t xml:space="preserve">homepage </t>
  </si>
  <si>
    <t>login user</t>
  </si>
  <si>
    <t>login pemilih</t>
  </si>
  <si>
    <t>dashboard user</t>
  </si>
  <si>
    <t>dashoard pemilih</t>
  </si>
  <si>
    <t>kelola user</t>
  </si>
  <si>
    <t>kelola kategori</t>
  </si>
  <si>
    <t xml:space="preserve">kelola kandidat </t>
  </si>
  <si>
    <t>detail pemilihan</t>
  </si>
  <si>
    <t xml:space="preserve">laropan/hasilpemilihan </t>
  </si>
  <si>
    <t>siswa/guru</t>
  </si>
  <si>
    <t>kandidat,kategori</t>
  </si>
  <si>
    <t>Kelola Data Guru</t>
  </si>
  <si>
    <t>Kelola Data Siswa</t>
  </si>
  <si>
    <t>guru, siswa</t>
  </si>
  <si>
    <t>ya</t>
  </si>
  <si>
    <t>belum</t>
  </si>
  <si>
    <t>detailpemilihan</t>
  </si>
  <si>
    <t>hasilpemilihan</t>
  </si>
  <si>
    <t>guru, siswa, kandidat, kategori</t>
  </si>
  <si>
    <t>statuspemilihan</t>
  </si>
  <si>
    <t>kandidat, kategori</t>
  </si>
  <si>
    <t>siswa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</si>
</sst>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2"/>
      <color theme="1"/>
      <name val="Calibri"/>
      <scheme val="minor"/>
    </font>
    <font>
      <b/>
      <sz val="10"/>
      <color theme="1"/>
      <name val="Calibri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sz val="10"/>
      <color theme="1"/>
      <name val="Calibri"/>
    </font>
    <font>
      <sz val="11"/>
      <color rgb="FF000000"/>
      <name val="&quot;Times New Roman&quot;"/>
    </font>
    <font>
      <sz val="9"/>
      <color theme="1"/>
      <name val="Calibri"/>
    </font>
    <font>
      <sz val="12"/>
      <color theme="1"/>
      <name val="Calibri"/>
    </font>
    <font>
      <b/>
      <sz val="13"/>
      <color theme="1"/>
      <name val="Calibri"/>
    </font>
    <font>
      <sz val="11"/>
      <color theme="10"/>
      <name val="Calibri"/>
    </font>
    <font>
      <b/>
      <sz val="11"/>
      <color theme="0"/>
      <name val="Calibri"/>
    </font>
    <font>
      <sz val="9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b/>
      <sz val="13"/>
      <color rgb="FFFF0000"/>
      <name val="Calibri"/>
      <family val="2"/>
    </font>
    <font>
      <sz val="12"/>
      <color theme="1"/>
      <name val="Calibri"/>
      <family val="2"/>
    </font>
    <font>
      <b/>
      <sz val="13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7" fillId="3" borderId="0" xfId="0" applyFont="1" applyFill="1"/>
    <xf numFmtId="0" fontId="2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1" fillId="4" borderId="1" xfId="0" applyNumberFormat="1" applyFont="1" applyFill="1" applyBorder="1" applyAlignment="1">
      <alignment horizontal="left" vertical="center"/>
    </xf>
    <xf numFmtId="0" fontId="11" fillId="0" borderId="1" xfId="0" applyFont="1" applyBorder="1"/>
    <xf numFmtId="0" fontId="12" fillId="5" borderId="1" xfId="0" applyFont="1" applyFill="1" applyBorder="1" applyAlignment="1">
      <alignment horizontal="left" vertical="center"/>
    </xf>
    <xf numFmtId="1" fontId="13" fillId="8" borderId="1" xfId="0" applyNumberFormat="1" applyFont="1" applyFill="1" applyBorder="1" applyAlignment="1">
      <alignment horizontal="left"/>
    </xf>
    <xf numFmtId="0" fontId="12" fillId="11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7" borderId="1" xfId="0" applyFont="1" applyFill="1" applyBorder="1"/>
    <xf numFmtId="0" fontId="1" fillId="5" borderId="1" xfId="0" applyFont="1" applyFill="1" applyBorder="1" applyAlignment="1">
      <alignment vertical="center"/>
    </xf>
    <xf numFmtId="0" fontId="7" fillId="0" borderId="0" xfId="0" applyFont="1"/>
    <xf numFmtId="0" fontId="1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0" borderId="1" xfId="0" applyFont="1" applyBorder="1" applyAlignment="1">
      <alignment horizontal="center"/>
    </xf>
    <xf numFmtId="0" fontId="1" fillId="9" borderId="1" xfId="0" applyFont="1" applyFill="1" applyBorder="1"/>
    <xf numFmtId="0" fontId="14" fillId="5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center"/>
    </xf>
    <xf numFmtId="1" fontId="1" fillId="11" borderId="1" xfId="0" applyNumberFormat="1" applyFont="1" applyFill="1" applyBorder="1" applyAlignment="1">
      <alignment vertical="center"/>
    </xf>
    <xf numFmtId="0" fontId="16" fillId="8" borderId="1" xfId="0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0" fontId="15" fillId="8" borderId="1" xfId="0" applyFont="1" applyFill="1" applyBorder="1" applyAlignment="1">
      <alignment horizontal="left"/>
    </xf>
    <xf numFmtId="0" fontId="15" fillId="12" borderId="1" xfId="0" applyFont="1" applyFill="1" applyBorder="1" applyAlignment="1">
      <alignment horizontal="center"/>
    </xf>
    <xf numFmtId="0" fontId="1" fillId="2" borderId="1" xfId="0" applyFont="1" applyFill="1" applyBorder="1"/>
    <xf numFmtId="0" fontId="15" fillId="1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5" fillId="12" borderId="1" xfId="0" applyFont="1" applyFill="1" applyBorder="1" applyAlignment="1">
      <alignment horizontal="left"/>
    </xf>
    <xf numFmtId="1" fontId="1" fillId="0" borderId="0" xfId="0" applyNumberFormat="1" applyFont="1" applyAlignment="1">
      <alignment horizontal="left" vertical="center"/>
    </xf>
    <xf numFmtId="1" fontId="13" fillId="5" borderId="1" xfId="0" applyNumberFormat="1" applyFont="1" applyFill="1" applyBorder="1" applyAlignment="1">
      <alignment horizontal="left"/>
    </xf>
    <xf numFmtId="0" fontId="14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vertical="center"/>
    </xf>
    <xf numFmtId="0" fontId="3" fillId="0" borderId="0" xfId="0" applyFont="1"/>
    <xf numFmtId="0" fontId="3" fillId="5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5" fillId="8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9" fillId="9" borderId="1" xfId="0" applyFont="1" applyFill="1" applyBorder="1"/>
    <xf numFmtId="0" fontId="3" fillId="0" borderId="1" xfId="0" applyFont="1" applyBorder="1"/>
    <xf numFmtId="9" fontId="15" fillId="0" borderId="0" xfId="0" applyNumberFormat="1" applyFont="1"/>
    <xf numFmtId="1" fontId="1" fillId="0" borderId="0" xfId="0" applyNumberFormat="1" applyFont="1" applyAlignment="1">
      <alignment vertical="center"/>
    </xf>
    <xf numFmtId="0" fontId="3" fillId="7" borderId="1" xfId="0" applyFont="1" applyFill="1" applyBorder="1"/>
    <xf numFmtId="0" fontId="12" fillId="7" borderId="1" xfId="0" applyFont="1" applyFill="1" applyBorder="1"/>
    <xf numFmtId="1" fontId="17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/>
    </xf>
    <xf numFmtId="0" fontId="15" fillId="13" borderId="1" xfId="0" applyFont="1" applyFill="1" applyBorder="1"/>
    <xf numFmtId="1" fontId="21" fillId="0" borderId="1" xfId="0" applyNumberFormat="1" applyFont="1" applyBorder="1" applyAlignment="1">
      <alignment horizontal="left"/>
    </xf>
    <xf numFmtId="0" fontId="15" fillId="4" borderId="1" xfId="0" applyFont="1" applyFill="1" applyBorder="1"/>
    <xf numFmtId="0" fontId="15" fillId="14" borderId="1" xfId="0" applyFont="1" applyFill="1" applyBorder="1"/>
    <xf numFmtId="0" fontId="15" fillId="15" borderId="1" xfId="0" applyFont="1" applyFill="1" applyBorder="1"/>
    <xf numFmtId="0" fontId="15" fillId="5" borderId="1" xfId="0" applyFont="1" applyFill="1" applyBorder="1"/>
    <xf numFmtId="0" fontId="15" fillId="0" borderId="1" xfId="0" applyFont="1" applyBorder="1"/>
    <xf numFmtId="0" fontId="15" fillId="0" borderId="0" xfId="0" applyFont="1"/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2" fillId="8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left"/>
    </xf>
    <xf numFmtId="0" fontId="23" fillId="12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left"/>
    </xf>
    <xf numFmtId="0" fontId="23" fillId="12" borderId="1" xfId="0" applyFont="1" applyFill="1" applyBorder="1" applyAlignment="1">
      <alignment horizontal="left" vertical="center"/>
    </xf>
    <xf numFmtId="0" fontId="23" fillId="12" borderId="1" xfId="0" quotePrefix="1" applyFont="1" applyFill="1" applyBorder="1" applyAlignment="1">
      <alignment horizontal="left"/>
    </xf>
    <xf numFmtId="0" fontId="26" fillId="3" borderId="0" xfId="0" applyFont="1" applyFill="1" applyAlignment="1">
      <alignment horizontal="left" vertical="center"/>
    </xf>
    <xf numFmtId="0" fontId="27" fillId="10" borderId="1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30" fillId="0" borderId="1" xfId="0" applyFont="1" applyBorder="1"/>
    <xf numFmtId="0" fontId="29" fillId="2" borderId="1" xfId="0" applyFont="1" applyFill="1" applyBorder="1" applyAlignment="1">
      <alignment horizontal="left"/>
    </xf>
    <xf numFmtId="0" fontId="30" fillId="2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" fillId="5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4" fillId="10" borderId="3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center" vertical="center"/>
    </xf>
    <xf numFmtId="0" fontId="30" fillId="2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topLeftCell="C18" workbookViewId="0">
      <selection activeCell="I25" sqref="I25"/>
    </sheetView>
  </sheetViews>
  <sheetFormatPr defaultColWidth="14.453125" defaultRowHeight="15" customHeight="1"/>
  <cols>
    <col min="1" max="1" width="3.54296875" customWidth="1"/>
    <col min="2" max="2" width="24.54296875" customWidth="1"/>
    <col min="3" max="3" width="31.08984375" customWidth="1"/>
    <col min="4" max="7" width="13.7265625" customWidth="1"/>
    <col min="8" max="8" width="10.81640625" customWidth="1"/>
    <col min="9" max="10" width="15.453125" customWidth="1"/>
    <col min="11" max="11" width="15.7265625" customWidth="1"/>
    <col min="12" max="12" width="18.81640625" customWidth="1"/>
    <col min="13" max="29" width="9.08984375" customWidth="1"/>
  </cols>
  <sheetData>
    <row r="1" spans="1:29" ht="21">
      <c r="A1" s="5" t="s">
        <v>1</v>
      </c>
      <c r="B1" s="5"/>
      <c r="C1" s="103" t="s">
        <v>3</v>
      </c>
      <c r="D1" s="104"/>
      <c r="E1" s="104"/>
      <c r="F1" s="104"/>
      <c r="G1" s="104"/>
      <c r="H1" s="104"/>
      <c r="I1" s="104"/>
      <c r="J1" s="104"/>
      <c r="K1" s="104"/>
      <c r="L1" s="104"/>
      <c r="M1" s="8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6.25" customHeight="1">
      <c r="A3" s="15" t="s">
        <v>5</v>
      </c>
      <c r="B3" s="17" t="s">
        <v>6</v>
      </c>
      <c r="C3" s="17" t="s">
        <v>16</v>
      </c>
      <c r="D3" s="18" t="s">
        <v>17</v>
      </c>
      <c r="E3" s="18" t="s">
        <v>20</v>
      </c>
      <c r="F3" s="18" t="s">
        <v>21</v>
      </c>
      <c r="G3" s="18" t="s">
        <v>23</v>
      </c>
      <c r="H3" s="14" t="s">
        <v>26</v>
      </c>
      <c r="I3" s="19" t="s">
        <v>27</v>
      </c>
      <c r="J3" s="19" t="s">
        <v>30</v>
      </c>
      <c r="K3" s="22" t="s">
        <v>31</v>
      </c>
      <c r="L3" s="17" t="s">
        <v>33</v>
      </c>
      <c r="M3" s="23"/>
      <c r="N3" s="3"/>
      <c r="O3" s="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5">
      <c r="A4" s="25">
        <v>1</v>
      </c>
      <c r="B4" s="27" t="s">
        <v>39</v>
      </c>
      <c r="C4" s="29" t="s">
        <v>42</v>
      </c>
      <c r="D4" s="30" t="s">
        <v>43</v>
      </c>
      <c r="E4" s="30" t="s">
        <v>44</v>
      </c>
      <c r="F4" s="30" t="s">
        <v>1</v>
      </c>
      <c r="G4" s="30" t="s">
        <v>1</v>
      </c>
      <c r="H4" s="35" t="s">
        <v>45</v>
      </c>
      <c r="I4" s="37" t="s">
        <v>49</v>
      </c>
      <c r="J4" s="37"/>
      <c r="K4" s="39" t="s">
        <v>1</v>
      </c>
      <c r="L4" s="29" t="s">
        <v>1</v>
      </c>
      <c r="M4" s="2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4.5">
      <c r="A5" s="25">
        <v>1</v>
      </c>
      <c r="B5" s="27" t="s">
        <v>39</v>
      </c>
      <c r="C5" s="29" t="s">
        <v>38</v>
      </c>
      <c r="D5" s="30" t="s">
        <v>63</v>
      </c>
      <c r="E5" s="30" t="s">
        <v>64</v>
      </c>
      <c r="F5" s="30" t="s">
        <v>59</v>
      </c>
      <c r="G5" s="30" t="s">
        <v>65</v>
      </c>
      <c r="H5" s="35" t="s">
        <v>46</v>
      </c>
      <c r="I5" s="37" t="s">
        <v>56</v>
      </c>
      <c r="J5" s="37"/>
      <c r="K5" s="39" t="s">
        <v>66</v>
      </c>
      <c r="L5" s="29" t="s">
        <v>67</v>
      </c>
      <c r="M5" s="52" t="str">
        <f t="shared" ref="M5:M38" si="0">B5</f>
        <v>Ahmadi Muslim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4.5">
      <c r="A6" s="25">
        <v>2</v>
      </c>
      <c r="B6" s="53" t="s">
        <v>76</v>
      </c>
      <c r="C6" s="29" t="s">
        <v>77</v>
      </c>
      <c r="D6" s="30" t="s">
        <v>63</v>
      </c>
      <c r="E6" s="30" t="s">
        <v>78</v>
      </c>
      <c r="F6" s="30" t="s">
        <v>79</v>
      </c>
      <c r="G6" s="30" t="s">
        <v>80</v>
      </c>
      <c r="H6" s="35" t="s">
        <v>46</v>
      </c>
      <c r="I6" s="37" t="s">
        <v>1</v>
      </c>
      <c r="J6" s="37"/>
      <c r="K6" s="39" t="s">
        <v>81</v>
      </c>
      <c r="L6" s="29"/>
      <c r="M6" s="52" t="str">
        <f t="shared" si="0"/>
        <v>Abyadh Hidayatullah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4.5">
      <c r="A7" s="25">
        <v>3</v>
      </c>
      <c r="B7" s="53" t="s">
        <v>82</v>
      </c>
      <c r="C7" s="29" t="s">
        <v>84</v>
      </c>
      <c r="D7" s="30" t="s">
        <v>85</v>
      </c>
      <c r="E7" s="30"/>
      <c r="F7" s="30" t="s">
        <v>1</v>
      </c>
      <c r="G7" s="30" t="s">
        <v>1</v>
      </c>
      <c r="H7" s="35" t="s">
        <v>46</v>
      </c>
      <c r="I7" s="37"/>
      <c r="J7" s="37"/>
      <c r="K7" s="39" t="s">
        <v>86</v>
      </c>
      <c r="L7" s="29"/>
      <c r="M7" s="52" t="str">
        <f t="shared" si="0"/>
        <v>Adinda Aprilia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4.5">
      <c r="A8" s="25">
        <v>4</v>
      </c>
      <c r="B8" s="53" t="s">
        <v>87</v>
      </c>
      <c r="C8" s="57" t="s">
        <v>88</v>
      </c>
      <c r="D8" s="57" t="s">
        <v>89</v>
      </c>
      <c r="E8" s="57" t="s">
        <v>90</v>
      </c>
      <c r="F8" s="57" t="s">
        <v>91</v>
      </c>
      <c r="G8" s="57" t="s">
        <v>92</v>
      </c>
      <c r="H8" s="58" t="s">
        <v>46</v>
      </c>
      <c r="I8" s="57" t="s">
        <v>93</v>
      </c>
      <c r="J8" s="59" t="s">
        <v>1</v>
      </c>
      <c r="K8" s="57" t="s">
        <v>94</v>
      </c>
      <c r="L8" s="57" t="s">
        <v>95</v>
      </c>
      <c r="M8" s="52" t="str">
        <f t="shared" si="0"/>
        <v>Aida Lidiya Nabilah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4.5">
      <c r="A9" s="25">
        <v>5</v>
      </c>
      <c r="B9" s="53" t="s">
        <v>97</v>
      </c>
      <c r="C9" s="29" t="s">
        <v>98</v>
      </c>
      <c r="D9" s="30" t="s">
        <v>99</v>
      </c>
      <c r="E9" s="30" t="s">
        <v>100</v>
      </c>
      <c r="F9" s="30" t="s">
        <v>1</v>
      </c>
      <c r="G9" s="30" t="s">
        <v>1</v>
      </c>
      <c r="H9" s="35" t="s">
        <v>46</v>
      </c>
      <c r="I9" s="37" t="s">
        <v>101</v>
      </c>
      <c r="J9" s="37"/>
      <c r="K9" s="60" t="s">
        <v>102</v>
      </c>
      <c r="L9" s="29" t="s">
        <v>103</v>
      </c>
      <c r="M9" s="52" t="str">
        <f t="shared" si="0"/>
        <v>Alya 'Aqila Zulfaa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4.5">
      <c r="A10" s="25">
        <v>6</v>
      </c>
      <c r="B10" s="53" t="s">
        <v>104</v>
      </c>
      <c r="C10" s="29" t="s">
        <v>105</v>
      </c>
      <c r="D10" s="30" t="s">
        <v>106</v>
      </c>
      <c r="E10" s="30" t="s">
        <v>100</v>
      </c>
      <c r="F10" s="30" t="s">
        <v>107</v>
      </c>
      <c r="G10" s="30" t="s">
        <v>1</v>
      </c>
      <c r="H10" s="35" t="s">
        <v>46</v>
      </c>
      <c r="I10" s="37" t="s">
        <v>108</v>
      </c>
      <c r="J10" s="37"/>
      <c r="K10" s="39" t="s">
        <v>110</v>
      </c>
      <c r="L10" s="29" t="s">
        <v>111</v>
      </c>
      <c r="M10" s="52" t="str">
        <f t="shared" si="0"/>
        <v>Amelia Fathar Nst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4.5">
      <c r="A11" s="25">
        <v>7</v>
      </c>
      <c r="B11" s="53" t="s">
        <v>112</v>
      </c>
      <c r="C11" s="29" t="s">
        <v>113</v>
      </c>
      <c r="D11" s="30" t="s">
        <v>114</v>
      </c>
      <c r="E11" s="30" t="s">
        <v>58</v>
      </c>
      <c r="F11" s="30" t="s">
        <v>1</v>
      </c>
      <c r="G11" s="30"/>
      <c r="H11" s="35" t="s">
        <v>46</v>
      </c>
      <c r="I11" s="37" t="s">
        <v>101</v>
      </c>
      <c r="J11" s="37"/>
      <c r="K11" s="39" t="s">
        <v>74</v>
      </c>
      <c r="L11" s="29" t="s">
        <v>95</v>
      </c>
      <c r="M11" s="52" t="str">
        <f t="shared" si="0"/>
        <v>Cahaya Putri Asyasyuara E.</v>
      </c>
      <c r="N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4.5">
      <c r="A12" s="25">
        <v>8</v>
      </c>
      <c r="B12" s="53" t="s">
        <v>115</v>
      </c>
      <c r="C12" s="29" t="s">
        <v>116</v>
      </c>
      <c r="D12" s="30" t="s">
        <v>117</v>
      </c>
      <c r="E12" s="30" t="s">
        <v>118</v>
      </c>
      <c r="F12" s="30" t="s">
        <v>1</v>
      </c>
      <c r="G12" s="30" t="s">
        <v>1</v>
      </c>
      <c r="H12" s="35" t="s">
        <v>46</v>
      </c>
      <c r="I12" s="37" t="s">
        <v>119</v>
      </c>
      <c r="J12" s="37"/>
      <c r="K12" s="39" t="s">
        <v>1</v>
      </c>
      <c r="L12" s="29" t="s">
        <v>1</v>
      </c>
      <c r="M12" s="52" t="str">
        <f t="shared" si="0"/>
        <v>Dewi Rahmah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4.5">
      <c r="A13" s="25">
        <v>9</v>
      </c>
      <c r="B13" s="53" t="s">
        <v>120</v>
      </c>
      <c r="C13" s="29" t="s">
        <v>121</v>
      </c>
      <c r="D13" s="30" t="s">
        <v>122</v>
      </c>
      <c r="E13" s="30" t="s">
        <v>58</v>
      </c>
      <c r="F13" s="30" t="s">
        <v>123</v>
      </c>
      <c r="G13" s="30" t="s">
        <v>1</v>
      </c>
      <c r="H13" s="35" t="s">
        <v>46</v>
      </c>
      <c r="I13" s="37" t="s">
        <v>101</v>
      </c>
      <c r="J13" s="37"/>
      <c r="K13" s="39" t="s">
        <v>124</v>
      </c>
      <c r="L13" s="29"/>
      <c r="M13" s="52" t="str">
        <f t="shared" si="0"/>
        <v>Eka Lisa Apriliani</v>
      </c>
      <c r="N13" s="5"/>
      <c r="O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4.5">
      <c r="A14" s="25">
        <v>1</v>
      </c>
      <c r="B14" s="53" t="s">
        <v>125</v>
      </c>
      <c r="C14" s="29" t="s">
        <v>126</v>
      </c>
      <c r="D14" s="30" t="s">
        <v>127</v>
      </c>
      <c r="E14" s="30" t="s">
        <v>1</v>
      </c>
      <c r="F14" s="30" t="s">
        <v>128</v>
      </c>
      <c r="G14" s="30" t="s">
        <v>1</v>
      </c>
      <c r="H14" s="35" t="s">
        <v>46</v>
      </c>
      <c r="I14" s="37" t="s">
        <v>108</v>
      </c>
      <c r="J14" s="37"/>
      <c r="K14" s="39" t="s">
        <v>1</v>
      </c>
      <c r="L14" s="29"/>
      <c r="M14" s="52" t="str">
        <f t="shared" si="0"/>
        <v>Faldan Affadil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4.5">
      <c r="A15" s="25">
        <v>11</v>
      </c>
      <c r="B15" s="53" t="s">
        <v>130</v>
      </c>
      <c r="C15" s="29" t="s">
        <v>131</v>
      </c>
      <c r="D15" s="30" t="s">
        <v>132</v>
      </c>
      <c r="E15" s="30"/>
      <c r="F15" s="30" t="s">
        <v>1</v>
      </c>
      <c r="G15" s="30" t="s">
        <v>1</v>
      </c>
      <c r="H15" s="35" t="s">
        <v>46</v>
      </c>
      <c r="I15" s="37" t="s">
        <v>133</v>
      </c>
      <c r="J15" s="37"/>
      <c r="K15" s="39" t="s">
        <v>134</v>
      </c>
      <c r="L15" s="29"/>
      <c r="M15" s="52" t="str">
        <f t="shared" si="0"/>
        <v>Gella Meylita</v>
      </c>
      <c r="N15" s="5"/>
      <c r="O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4.5">
      <c r="A16" s="25">
        <v>12</v>
      </c>
      <c r="B16" s="53" t="s">
        <v>135</v>
      </c>
      <c r="C16" s="29"/>
      <c r="D16" s="30"/>
      <c r="E16" s="30"/>
      <c r="F16" s="30"/>
      <c r="G16" s="30"/>
      <c r="H16" s="35" t="s">
        <v>46</v>
      </c>
      <c r="I16" s="37"/>
      <c r="J16" s="37"/>
      <c r="K16" s="39"/>
      <c r="L16" s="29"/>
      <c r="M16" s="52" t="str">
        <f t="shared" si="0"/>
        <v>Haikhal Syahputra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4.5">
      <c r="A17" s="25">
        <v>13</v>
      </c>
      <c r="B17" s="53" t="s">
        <v>137</v>
      </c>
      <c r="C17" s="29" t="s">
        <v>138</v>
      </c>
      <c r="D17" s="30" t="s">
        <v>117</v>
      </c>
      <c r="E17" s="30" t="s">
        <v>118</v>
      </c>
      <c r="F17" s="30" t="s">
        <v>1</v>
      </c>
      <c r="G17" s="30" t="s">
        <v>1</v>
      </c>
      <c r="H17" s="35" t="s">
        <v>46</v>
      </c>
      <c r="I17" s="37" t="s">
        <v>119</v>
      </c>
      <c r="J17" s="37"/>
      <c r="K17" s="39" t="s">
        <v>1</v>
      </c>
      <c r="L17" s="29"/>
      <c r="M17" s="52" t="str">
        <f t="shared" si="0"/>
        <v>Hayfa Sakhiy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4.5">
      <c r="A18" s="25">
        <v>14</v>
      </c>
      <c r="B18" s="53" t="s">
        <v>139</v>
      </c>
      <c r="C18" s="29" t="s">
        <v>141</v>
      </c>
      <c r="D18" s="30"/>
      <c r="E18" s="30" t="s">
        <v>58</v>
      </c>
      <c r="F18" s="30" t="s">
        <v>143</v>
      </c>
      <c r="G18" s="30" t="s">
        <v>1</v>
      </c>
      <c r="H18" s="35" t="s">
        <v>46</v>
      </c>
      <c r="I18" s="37" t="s">
        <v>101</v>
      </c>
      <c r="J18" s="37"/>
      <c r="K18" s="67" t="s">
        <v>144</v>
      </c>
      <c r="L18" s="57" t="s">
        <v>145</v>
      </c>
      <c r="M18" s="52" t="str">
        <f t="shared" si="0"/>
        <v>Mariescha Najwaa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4.5">
      <c r="A19" s="25">
        <v>15</v>
      </c>
      <c r="B19" s="53" t="s">
        <v>146</v>
      </c>
      <c r="C19" s="29" t="s">
        <v>147</v>
      </c>
      <c r="D19" s="30" t="s">
        <v>1</v>
      </c>
      <c r="E19" s="30" t="s">
        <v>148</v>
      </c>
      <c r="F19" s="30" t="s">
        <v>1</v>
      </c>
      <c r="G19" s="30" t="s">
        <v>1</v>
      </c>
      <c r="H19" s="35" t="s">
        <v>46</v>
      </c>
      <c r="I19" s="37" t="s">
        <v>101</v>
      </c>
      <c r="J19" s="37"/>
      <c r="K19" s="60" t="s">
        <v>149</v>
      </c>
      <c r="L19" s="68" t="s">
        <v>1</v>
      </c>
      <c r="M19" s="52" t="str">
        <f t="shared" si="0"/>
        <v>Maya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4.5">
      <c r="A20" s="25">
        <v>16</v>
      </c>
      <c r="B20" s="53" t="s">
        <v>150</v>
      </c>
      <c r="C20" s="29" t="s">
        <v>151</v>
      </c>
      <c r="D20" s="30" t="s">
        <v>1</v>
      </c>
      <c r="E20" s="30" t="s">
        <v>58</v>
      </c>
      <c r="F20" s="30" t="s">
        <v>1</v>
      </c>
      <c r="G20" s="30" t="s">
        <v>1</v>
      </c>
      <c r="H20" s="35" t="s">
        <v>46</v>
      </c>
      <c r="I20" s="37" t="s">
        <v>119</v>
      </c>
      <c r="J20" s="37"/>
      <c r="K20" s="39" t="s">
        <v>152</v>
      </c>
      <c r="L20" s="29"/>
      <c r="M20" s="52" t="str">
        <f t="shared" si="0"/>
        <v>Miftahul Zannah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4.5">
      <c r="A21" s="25">
        <v>17</v>
      </c>
      <c r="B21" s="53" t="s">
        <v>153</v>
      </c>
      <c r="C21" s="29" t="s">
        <v>154</v>
      </c>
      <c r="D21" s="30"/>
      <c r="E21" s="30" t="s">
        <v>123</v>
      </c>
      <c r="F21" s="30" t="s">
        <v>1</v>
      </c>
      <c r="G21" s="30"/>
      <c r="H21" s="35" t="s">
        <v>46</v>
      </c>
      <c r="I21" s="37" t="s">
        <v>101</v>
      </c>
      <c r="J21" s="37" t="s">
        <v>155</v>
      </c>
      <c r="K21" s="39" t="s">
        <v>156</v>
      </c>
      <c r="L21" s="29"/>
      <c r="M21" s="52" t="str">
        <f t="shared" si="0"/>
        <v>Nazwa Ramadhani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>
      <c r="A22" s="25">
        <v>18</v>
      </c>
      <c r="B22" s="53" t="s">
        <v>159</v>
      </c>
      <c r="C22" s="29" t="s">
        <v>160</v>
      </c>
      <c r="D22" s="30" t="s">
        <v>1</v>
      </c>
      <c r="E22" s="30" t="s">
        <v>58</v>
      </c>
      <c r="F22" s="30" t="s">
        <v>1</v>
      </c>
      <c r="G22" s="30" t="s">
        <v>1</v>
      </c>
      <c r="H22" s="35" t="s">
        <v>46</v>
      </c>
      <c r="I22" s="37" t="s">
        <v>119</v>
      </c>
      <c r="J22" s="37" t="s">
        <v>1</v>
      </c>
      <c r="K22" s="39" t="s">
        <v>152</v>
      </c>
      <c r="L22" s="29" t="s">
        <v>1</v>
      </c>
      <c r="M22" s="52" t="str">
        <f t="shared" si="0"/>
        <v>Nazzira Pusvita Sari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>
      <c r="A23" s="25">
        <v>19</v>
      </c>
      <c r="B23" s="53" t="s">
        <v>161</v>
      </c>
      <c r="C23" s="29" t="s">
        <v>162</v>
      </c>
      <c r="D23" s="30" t="s">
        <v>148</v>
      </c>
      <c r="E23" s="30"/>
      <c r="F23" s="30" t="s">
        <v>1</v>
      </c>
      <c r="G23" s="30" t="s">
        <v>1</v>
      </c>
      <c r="H23" s="35" t="s">
        <v>46</v>
      </c>
      <c r="I23" s="37" t="s">
        <v>101</v>
      </c>
      <c r="J23" s="37" t="s">
        <v>155</v>
      </c>
      <c r="K23" s="39" t="s">
        <v>163</v>
      </c>
      <c r="L23" s="29"/>
      <c r="M23" s="52" t="str">
        <f t="shared" si="0"/>
        <v>Novi Yanti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>
      <c r="A24" s="25">
        <v>20</v>
      </c>
      <c r="B24" s="53" t="s">
        <v>164</v>
      </c>
      <c r="C24" s="29" t="s">
        <v>165</v>
      </c>
      <c r="D24" s="30" t="s">
        <v>148</v>
      </c>
      <c r="E24" s="30"/>
      <c r="F24" s="30" t="s">
        <v>1</v>
      </c>
      <c r="G24" s="30"/>
      <c r="H24" s="35" t="s">
        <v>46</v>
      </c>
      <c r="I24" s="37" t="s">
        <v>108</v>
      </c>
      <c r="J24" s="37"/>
      <c r="K24" s="39"/>
      <c r="L24" s="29"/>
      <c r="M24" s="52" t="str">
        <f t="shared" si="0"/>
        <v>Nurhalizah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>
      <c r="A25" s="25">
        <v>21</v>
      </c>
      <c r="B25" s="53" t="s">
        <v>166</v>
      </c>
      <c r="C25" s="29" t="s">
        <v>167</v>
      </c>
      <c r="D25" s="30" t="s">
        <v>168</v>
      </c>
      <c r="E25" s="30" t="s">
        <v>1</v>
      </c>
      <c r="F25" s="30" t="s">
        <v>1</v>
      </c>
      <c r="G25" s="30" t="s">
        <v>1</v>
      </c>
      <c r="H25" s="35" t="s">
        <v>46</v>
      </c>
      <c r="I25" s="37" t="s">
        <v>169</v>
      </c>
      <c r="J25" s="37" t="s">
        <v>1</v>
      </c>
      <c r="K25" s="39" t="s">
        <v>170</v>
      </c>
      <c r="L25" s="29"/>
      <c r="M25" s="52" t="str">
        <f t="shared" si="0"/>
        <v>Nurul Aini Nasution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>
      <c r="A26" s="25">
        <v>22</v>
      </c>
      <c r="B26" s="53" t="s">
        <v>171</v>
      </c>
      <c r="C26" s="29" t="s">
        <v>172</v>
      </c>
      <c r="D26" s="30" t="s">
        <v>173</v>
      </c>
      <c r="E26" s="30"/>
      <c r="F26" s="30" t="s">
        <v>106</v>
      </c>
      <c r="G26" s="30" t="s">
        <v>100</v>
      </c>
      <c r="H26" s="35" t="s">
        <v>46</v>
      </c>
      <c r="I26" s="37" t="s">
        <v>108</v>
      </c>
      <c r="J26" s="37" t="s">
        <v>101</v>
      </c>
      <c r="K26" s="39" t="s">
        <v>174</v>
      </c>
      <c r="L26" s="29"/>
      <c r="M26" s="52" t="str">
        <f t="shared" si="0"/>
        <v>Raffa Ramadhan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>
      <c r="A27" s="25">
        <v>23</v>
      </c>
      <c r="B27" s="53" t="s">
        <v>175</v>
      </c>
      <c r="C27" s="29" t="s">
        <v>177</v>
      </c>
      <c r="D27" s="30" t="s">
        <v>173</v>
      </c>
      <c r="E27" s="30" t="s">
        <v>58</v>
      </c>
      <c r="F27" s="30" t="s">
        <v>179</v>
      </c>
      <c r="G27" s="30" t="s">
        <v>180</v>
      </c>
      <c r="H27" s="35" t="s">
        <v>46</v>
      </c>
      <c r="I27" s="37" t="s">
        <v>108</v>
      </c>
      <c r="J27" s="37" t="s">
        <v>101</v>
      </c>
      <c r="K27" s="39" t="s">
        <v>181</v>
      </c>
      <c r="L27" s="29"/>
      <c r="M27" s="52" t="str">
        <f t="shared" si="0"/>
        <v>Reisha Armaini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>
      <c r="A28" s="25">
        <v>24</v>
      </c>
      <c r="B28" s="53" t="s">
        <v>182</v>
      </c>
      <c r="C28" s="29" t="s">
        <v>183</v>
      </c>
      <c r="D28" s="30" t="s">
        <v>184</v>
      </c>
      <c r="E28" s="30" t="s">
        <v>185</v>
      </c>
      <c r="F28" s="30"/>
      <c r="G28" s="30"/>
      <c r="H28" s="35" t="s">
        <v>46</v>
      </c>
      <c r="I28" s="37" t="s">
        <v>108</v>
      </c>
      <c r="J28" s="37"/>
      <c r="K28" s="39" t="s">
        <v>186</v>
      </c>
      <c r="L28" s="29"/>
      <c r="M28" s="52" t="str">
        <f t="shared" si="0"/>
        <v>Sarki Sepriana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customHeight="1">
      <c r="A29" s="25">
        <v>25</v>
      </c>
      <c r="B29" s="53" t="s">
        <v>187</v>
      </c>
      <c r="C29" s="29" t="s">
        <v>188</v>
      </c>
      <c r="D29" s="30" t="s">
        <v>189</v>
      </c>
      <c r="E29" s="30" t="s">
        <v>58</v>
      </c>
      <c r="F29" s="30" t="s">
        <v>1</v>
      </c>
      <c r="G29" s="30" t="s">
        <v>1</v>
      </c>
      <c r="H29" s="35" t="s">
        <v>46</v>
      </c>
      <c r="I29" s="37" t="s">
        <v>190</v>
      </c>
      <c r="J29" s="37"/>
      <c r="K29" s="39" t="s">
        <v>192</v>
      </c>
      <c r="L29" s="29" t="s">
        <v>1</v>
      </c>
      <c r="M29" s="52" t="str">
        <f t="shared" si="0"/>
        <v>Sevenna Mesyera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customHeight="1">
      <c r="A30" s="25">
        <v>26</v>
      </c>
      <c r="B30" s="53" t="s">
        <v>193</v>
      </c>
      <c r="C30" s="29" t="s">
        <v>194</v>
      </c>
      <c r="D30" s="30" t="s">
        <v>73</v>
      </c>
      <c r="E30" s="30" t="s">
        <v>195</v>
      </c>
      <c r="F30" s="30" t="s">
        <v>58</v>
      </c>
      <c r="G30" s="30"/>
      <c r="H30" s="35" t="s">
        <v>46</v>
      </c>
      <c r="I30" s="37" t="s">
        <v>108</v>
      </c>
      <c r="J30" s="37"/>
      <c r="K30" s="39" t="s">
        <v>124</v>
      </c>
      <c r="L30" s="29" t="s">
        <v>196</v>
      </c>
      <c r="M30" s="52" t="str">
        <f t="shared" si="0"/>
        <v>Shifa Rahmadani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>
      <c r="A31" s="25">
        <v>27</v>
      </c>
      <c r="B31" s="53" t="s">
        <v>197</v>
      </c>
      <c r="C31" s="29" t="s">
        <v>198</v>
      </c>
      <c r="D31" s="71" t="s">
        <v>1</v>
      </c>
      <c r="E31" s="71" t="s">
        <v>1</v>
      </c>
      <c r="F31" s="71" t="s">
        <v>200</v>
      </c>
      <c r="G31" s="71" t="s">
        <v>1</v>
      </c>
      <c r="H31" s="35" t="s">
        <v>46</v>
      </c>
      <c r="I31" s="59" t="s">
        <v>108</v>
      </c>
      <c r="J31" s="59" t="s">
        <v>101</v>
      </c>
      <c r="K31" s="60" t="s">
        <v>124</v>
      </c>
      <c r="L31" s="68" t="s">
        <v>1</v>
      </c>
      <c r="M31" s="52" t="str">
        <f t="shared" si="0"/>
        <v>Tasya Aulia Putri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>
      <c r="A32" s="25">
        <v>28</v>
      </c>
      <c r="B32" s="53" t="s">
        <v>201</v>
      </c>
      <c r="C32" s="29" t="s">
        <v>202</v>
      </c>
      <c r="D32" s="72" t="s">
        <v>73</v>
      </c>
      <c r="E32" s="30" t="s">
        <v>58</v>
      </c>
      <c r="F32" s="30" t="s">
        <v>80</v>
      </c>
      <c r="G32" s="30" t="s">
        <v>143</v>
      </c>
      <c r="H32" s="35" t="s">
        <v>46</v>
      </c>
      <c r="I32" s="37"/>
      <c r="J32" s="37"/>
      <c r="K32" s="39" t="s">
        <v>74</v>
      </c>
      <c r="L32" s="29"/>
      <c r="M32" s="52" t="str">
        <f t="shared" si="0"/>
        <v>Teuku Abdul Razaq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>
      <c r="A33" s="25">
        <v>29</v>
      </c>
      <c r="B33" s="53" t="s">
        <v>204</v>
      </c>
      <c r="C33" s="29" t="s">
        <v>205</v>
      </c>
      <c r="D33" s="30" t="s">
        <v>206</v>
      </c>
      <c r="E33" s="30" t="s">
        <v>58</v>
      </c>
      <c r="F33" s="30" t="s">
        <v>107</v>
      </c>
      <c r="G33" s="30" t="s">
        <v>1</v>
      </c>
      <c r="H33" s="35" t="s">
        <v>46</v>
      </c>
      <c r="I33" s="37" t="s">
        <v>101</v>
      </c>
      <c r="J33" s="37" t="s">
        <v>207</v>
      </c>
      <c r="K33" s="39" t="s">
        <v>208</v>
      </c>
      <c r="L33" s="29" t="s">
        <v>1</v>
      </c>
      <c r="M33" s="52" t="str">
        <f t="shared" si="0"/>
        <v>Wanda Afrilia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>
      <c r="A34" s="25">
        <v>30</v>
      </c>
      <c r="B34" s="53" t="s">
        <v>209</v>
      </c>
      <c r="C34" s="29" t="s">
        <v>210</v>
      </c>
      <c r="D34" s="30" t="s">
        <v>211</v>
      </c>
      <c r="E34" s="30" t="s">
        <v>58</v>
      </c>
      <c r="F34" s="30" t="s">
        <v>212</v>
      </c>
      <c r="G34" s="30" t="s">
        <v>213</v>
      </c>
      <c r="H34" s="35" t="s">
        <v>46</v>
      </c>
      <c r="I34" s="37" t="s">
        <v>101</v>
      </c>
      <c r="J34" s="37" t="s">
        <v>214</v>
      </c>
      <c r="K34" s="39" t="s">
        <v>86</v>
      </c>
      <c r="L34" s="29" t="s">
        <v>215</v>
      </c>
      <c r="M34" s="52" t="str">
        <f t="shared" si="0"/>
        <v>Widya Ulfa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>
      <c r="A35" s="25">
        <v>31</v>
      </c>
      <c r="B35" s="53" t="s">
        <v>216</v>
      </c>
      <c r="C35" s="29" t="s">
        <v>217</v>
      </c>
      <c r="D35" s="30" t="s">
        <v>218</v>
      </c>
      <c r="E35" s="30" t="s">
        <v>58</v>
      </c>
      <c r="F35" s="30"/>
      <c r="G35" s="30"/>
      <c r="H35" s="35" t="s">
        <v>46</v>
      </c>
      <c r="I35" s="37" t="s">
        <v>101</v>
      </c>
      <c r="J35" s="37"/>
      <c r="K35" s="39" t="s">
        <v>220</v>
      </c>
      <c r="L35" s="29" t="s">
        <v>221</v>
      </c>
      <c r="M35" s="52" t="str">
        <f t="shared" si="0"/>
        <v>Zahira Nursafa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>
      <c r="A36" s="25">
        <v>32</v>
      </c>
      <c r="B36" s="53" t="s">
        <v>222</v>
      </c>
      <c r="C36" s="29" t="s">
        <v>223</v>
      </c>
      <c r="D36" s="30" t="s">
        <v>224</v>
      </c>
      <c r="E36" s="30" t="s">
        <v>225</v>
      </c>
      <c r="F36" s="30"/>
      <c r="G36" s="30"/>
      <c r="H36" s="35" t="s">
        <v>46</v>
      </c>
      <c r="I36" s="37" t="s">
        <v>56</v>
      </c>
      <c r="J36" s="37" t="s">
        <v>226</v>
      </c>
      <c r="K36" s="39" t="s">
        <v>66</v>
      </c>
      <c r="L36" s="29" t="s">
        <v>227</v>
      </c>
      <c r="M36" s="52" t="str">
        <f t="shared" si="0"/>
        <v>Zakwan Abdul Hady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>
      <c r="A37" s="25">
        <v>33</v>
      </c>
      <c r="B37" s="53" t="s">
        <v>228</v>
      </c>
      <c r="C37" s="29" t="s">
        <v>229</v>
      </c>
      <c r="D37" s="71" t="s">
        <v>230</v>
      </c>
      <c r="E37" s="30" t="s">
        <v>1</v>
      </c>
      <c r="F37" s="30" t="s">
        <v>1</v>
      </c>
      <c r="G37" s="30" t="s">
        <v>1</v>
      </c>
      <c r="H37" s="35" t="s">
        <v>46</v>
      </c>
      <c r="I37" s="37" t="s">
        <v>101</v>
      </c>
      <c r="J37" s="37"/>
      <c r="K37" s="60" t="s">
        <v>86</v>
      </c>
      <c r="L37" s="29" t="s">
        <v>1</v>
      </c>
      <c r="M37" s="52" t="str">
        <f t="shared" si="0"/>
        <v>Zsaskia Meiranda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>
      <c r="A38" s="25">
        <v>34</v>
      </c>
      <c r="B38" s="53" t="s">
        <v>231</v>
      </c>
      <c r="C38" s="29" t="s">
        <v>232</v>
      </c>
      <c r="D38" s="30" t="s">
        <v>63</v>
      </c>
      <c r="E38" s="30"/>
      <c r="F38" s="30"/>
      <c r="G38" s="30" t="s">
        <v>233</v>
      </c>
      <c r="H38" s="35" t="s">
        <v>46</v>
      </c>
      <c r="I38" s="37" t="s">
        <v>101</v>
      </c>
      <c r="J38" s="37" t="s">
        <v>108</v>
      </c>
      <c r="K38" s="39" t="s">
        <v>145</v>
      </c>
      <c r="L38" s="29"/>
      <c r="M38" s="52" t="str">
        <f t="shared" si="0"/>
        <v>Zulaika Fatarani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>
      <c r="A40" s="5"/>
      <c r="B40" s="74" t="s">
        <v>234</v>
      </c>
      <c r="C40" s="74" t="s">
        <v>237</v>
      </c>
      <c r="D40" s="5"/>
      <c r="E40" s="5"/>
      <c r="F40" s="5"/>
      <c r="G40" s="5"/>
      <c r="H40" s="5"/>
      <c r="I40" s="5"/>
      <c r="J40" s="5"/>
      <c r="K40" s="5"/>
      <c r="L40" s="5"/>
      <c r="M40" s="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hidden="1" customHeight="1">
      <c r="A41" s="5"/>
      <c r="B41" s="75" t="s">
        <v>238</v>
      </c>
      <c r="C41" s="76" t="s">
        <v>239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customHeight="1">
      <c r="A42" s="5"/>
      <c r="B42" s="77" t="s">
        <v>240</v>
      </c>
      <c r="C42" s="78" t="s">
        <v>241</v>
      </c>
      <c r="D42" s="5"/>
      <c r="E42" s="5"/>
      <c r="F42" s="5"/>
      <c r="G42" s="5"/>
      <c r="H42" s="5"/>
      <c r="I42" s="5"/>
      <c r="J42" s="5"/>
      <c r="K42" s="5"/>
      <c r="L42" s="5"/>
      <c r="M42" s="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hidden="1" customHeight="1">
      <c r="A43" s="5"/>
      <c r="B43" s="77" t="s">
        <v>242</v>
      </c>
      <c r="C43" s="79" t="s">
        <v>243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hidden="1" customHeight="1">
      <c r="A44" s="5"/>
      <c r="B44" s="75" t="s">
        <v>244</v>
      </c>
      <c r="C44" s="76" t="s">
        <v>239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hidden="1" customHeight="1">
      <c r="A45" s="5"/>
      <c r="B45" s="75" t="s">
        <v>245</v>
      </c>
      <c r="C45" s="79" t="s">
        <v>243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hidden="1" customHeight="1">
      <c r="A46" s="5"/>
      <c r="B46" s="77" t="s">
        <v>246</v>
      </c>
      <c r="C46" s="79" t="s">
        <v>243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hidden="1" customHeight="1">
      <c r="A47" s="5"/>
      <c r="B47" s="75" t="s">
        <v>247</v>
      </c>
      <c r="C47" s="76" t="s">
        <v>239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hidden="1" customHeight="1">
      <c r="A48" s="5"/>
      <c r="B48" s="75" t="s">
        <v>248</v>
      </c>
      <c r="C48" s="80" t="s">
        <v>249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hidden="1" customHeight="1">
      <c r="A49" s="5"/>
      <c r="B49" s="75" t="s">
        <v>250</v>
      </c>
      <c r="C49" s="79" t="s">
        <v>243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hidden="1" customHeight="1">
      <c r="A50" s="5"/>
      <c r="B50" s="75" t="s">
        <v>251</v>
      </c>
      <c r="C50" s="80" t="s">
        <v>249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hidden="1" customHeight="1">
      <c r="A51" s="5"/>
      <c r="B51" s="75" t="s">
        <v>252</v>
      </c>
      <c r="C51" s="81" t="s">
        <v>254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hidden="1" customHeight="1">
      <c r="A52" s="5"/>
      <c r="B52" s="75" t="s">
        <v>255</v>
      </c>
      <c r="C52" s="81" t="s">
        <v>254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hidden="1" customHeight="1">
      <c r="A53" s="5"/>
      <c r="B53" s="82" t="s">
        <v>256</v>
      </c>
      <c r="C53" s="80" t="s">
        <v>249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>
      <c r="A54" s="5"/>
      <c r="B54" s="75" t="s">
        <v>258</v>
      </c>
      <c r="C54" s="78" t="s">
        <v>241</v>
      </c>
      <c r="D54" s="5"/>
      <c r="E54" s="5"/>
      <c r="F54" s="5"/>
      <c r="G54" s="5"/>
      <c r="H54" s="5"/>
      <c r="I54" s="5"/>
      <c r="J54" s="5"/>
      <c r="K54" s="5"/>
      <c r="L54" s="5"/>
      <c r="M54" s="8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>
      <c r="A55" s="5"/>
      <c r="B55" s="75" t="s">
        <v>259</v>
      </c>
      <c r="C55" s="78" t="s">
        <v>241</v>
      </c>
      <c r="D55" s="5"/>
      <c r="E55" s="5"/>
      <c r="F55" s="5"/>
      <c r="G55" s="5"/>
      <c r="H55" s="5"/>
      <c r="I55" s="5"/>
      <c r="J55" s="5"/>
      <c r="K55" s="5"/>
      <c r="L55" s="5"/>
      <c r="M55" s="8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hidden="1" customHeight="1">
      <c r="A56" s="5"/>
      <c r="B56" s="75" t="s">
        <v>260</v>
      </c>
      <c r="C56" s="79" t="s">
        <v>243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hidden="1" customHeight="1">
      <c r="A57" s="5"/>
      <c r="B57" s="75" t="s">
        <v>263</v>
      </c>
      <c r="C57" s="76" t="s">
        <v>239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customHeight="1">
      <c r="A58" s="5"/>
      <c r="B58" s="75" t="s">
        <v>264</v>
      </c>
      <c r="C58" s="78" t="s">
        <v>241</v>
      </c>
      <c r="D58" s="5"/>
      <c r="E58" s="5"/>
      <c r="F58" s="5"/>
      <c r="G58" s="5"/>
      <c r="H58" s="5"/>
      <c r="I58" s="5"/>
      <c r="J58" s="5"/>
      <c r="K58" s="5"/>
      <c r="L58" s="5"/>
      <c r="M58" s="8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hidden="1" customHeight="1">
      <c r="A59" s="5"/>
      <c r="B59" s="75" t="s">
        <v>265</v>
      </c>
      <c r="C59" s="76" t="s">
        <v>239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hidden="1" customHeight="1">
      <c r="A60" s="5"/>
      <c r="B60" s="77" t="s">
        <v>268</v>
      </c>
      <c r="C60" s="80" t="s">
        <v>249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hidden="1" customHeight="1">
      <c r="A61" s="5"/>
      <c r="B61" s="75" t="s">
        <v>269</v>
      </c>
      <c r="C61" s="81" t="s">
        <v>254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hidden="1" customHeight="1">
      <c r="A62" s="5"/>
      <c r="B62" s="75" t="s">
        <v>270</v>
      </c>
      <c r="C62" s="81" t="s">
        <v>254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customHeight="1">
      <c r="A63" s="5"/>
      <c r="B63" s="83"/>
      <c r="C63" s="83"/>
      <c r="D63" s="5"/>
      <c r="E63" s="5"/>
      <c r="F63" s="5"/>
      <c r="G63" s="5"/>
      <c r="H63" s="5"/>
      <c r="I63" s="5"/>
      <c r="J63" s="5"/>
      <c r="K63" s="5"/>
      <c r="L63" s="5"/>
      <c r="M63" s="8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customHeight="1">
      <c r="A64" s="5"/>
      <c r="B64" s="76" t="s">
        <v>239</v>
      </c>
      <c r="C64" s="82">
        <f>COUNTIF($C$41:$C$62,"DDL1")</f>
        <v>5</v>
      </c>
      <c r="D64" s="5"/>
      <c r="E64" s="5"/>
      <c r="F64" s="5"/>
      <c r="G64" s="5"/>
      <c r="H64" s="5"/>
      <c r="I64" s="5"/>
      <c r="J64" s="5"/>
      <c r="K64" s="5"/>
      <c r="L64" s="5"/>
      <c r="M64" s="8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customHeight="1">
      <c r="A65" s="5"/>
      <c r="B65" s="81" t="s">
        <v>254</v>
      </c>
      <c r="C65" s="82">
        <f>COUNTIF($C$41:$C$62,"DDL2")</f>
        <v>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customHeight="1">
      <c r="A66" s="5"/>
      <c r="B66" s="80" t="s">
        <v>249</v>
      </c>
      <c r="C66" s="82">
        <f>COUNTIF($C$41:$C$62,"DML")</f>
        <v>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customHeight="1">
      <c r="A67" s="5"/>
      <c r="B67" s="79" t="s">
        <v>243</v>
      </c>
      <c r="C67" s="82">
        <f>COUNTIF($C$41:$C$62,"DCL")</f>
        <v>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customHeight="1">
      <c r="A68" s="5"/>
      <c r="B68" s="78" t="s">
        <v>241</v>
      </c>
      <c r="C68" s="82">
        <f>COUNTIF($C$41:$C$62,"TCL")</f>
        <v>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8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8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8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8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8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8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8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8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8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8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8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8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8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8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8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8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8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8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8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8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8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8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8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8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8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8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8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8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8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8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8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8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8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8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8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8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8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8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8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8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8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8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8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8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8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8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8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8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8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8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8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8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8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8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8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8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8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8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8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8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8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8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8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8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8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8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8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8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8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8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8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8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8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8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8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8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8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8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8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8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8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8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8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8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8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8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8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8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8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8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8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8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8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8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8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8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8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8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8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8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8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8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8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8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8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8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8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8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8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8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8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8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8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8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8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8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8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8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8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8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8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8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8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8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8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8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8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8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8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8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8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8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8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8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8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8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8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8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8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8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8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8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8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8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8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8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8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8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8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8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8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8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8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8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8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8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8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8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8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8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8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8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8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8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8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8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8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8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8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8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8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8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8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8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8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8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8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8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8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8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8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8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8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8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8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8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8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8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8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8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8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8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8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8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8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8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8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8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8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8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8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8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8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8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8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8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8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8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8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8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8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8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8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8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8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8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8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8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8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8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8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8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8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8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8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8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8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8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8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8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8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8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8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8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8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8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8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8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8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8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8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8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8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8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8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8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8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8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8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8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8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8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8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8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8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8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8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8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8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8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8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8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8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8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8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8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8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8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8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8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8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8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8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8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8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8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8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8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8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8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8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8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8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8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8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8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8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8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8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8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8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8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8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8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8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8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8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8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8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8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8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8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8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8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8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8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8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8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8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8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8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8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8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8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8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8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8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8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8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8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8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8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8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8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8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8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8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8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8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8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8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8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8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8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8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8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8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8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8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8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8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8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8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8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8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8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8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8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8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8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8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8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8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8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8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8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8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8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8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8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8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8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8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8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8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8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8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8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8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8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8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8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8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8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8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8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8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8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8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8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8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8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8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8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8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8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8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8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8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8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8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8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8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8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8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8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8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8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8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8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8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8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8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8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8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8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8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8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8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8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8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8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8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8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8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8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8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8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8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8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8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8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8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8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8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8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8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8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8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8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8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8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8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8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8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8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8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8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8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8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8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8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8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8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8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8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8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8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8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8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8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8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8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8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8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8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8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8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8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8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8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8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8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8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8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8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8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8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8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8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8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8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8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8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8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8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8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8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8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8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8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8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8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8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8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8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8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8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8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8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8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8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8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8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8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8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8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8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8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8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8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8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8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8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8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8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8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8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8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8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8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8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8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8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8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8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8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8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8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8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8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8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8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8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8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8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8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8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8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8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8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8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8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8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8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8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8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8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8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8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8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8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8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8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8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8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8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8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8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8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8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8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8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8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8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8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8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8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8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8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8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8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8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8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8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8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8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8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8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8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8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8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8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8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8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8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8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8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8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8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8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8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8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8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8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8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8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8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8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8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8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8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8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8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8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8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8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8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8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8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8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8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8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8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8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8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8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8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8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8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8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8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8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8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8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8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8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8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8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8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8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8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8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8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8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8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8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8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8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8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8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8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8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8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8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8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8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8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8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8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8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8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8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8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8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8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8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8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8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8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8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8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8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8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8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8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8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8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8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8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8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8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8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8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8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8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8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8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8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8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8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8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8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8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8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8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8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8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8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8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8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8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8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8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8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8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8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8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8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8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8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8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8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8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8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8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autoFilter ref="B40:C62" xr:uid="{00000000-0009-0000-0000-000000000000}">
    <filterColumn colId="1">
      <filters>
        <filter val="TCL"/>
      </filters>
    </filterColumn>
    <sortState xmlns:xlrd2="http://schemas.microsoft.com/office/spreadsheetml/2017/richdata2"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workbookViewId="0"/>
  </sheetViews>
  <sheetFormatPr defaultColWidth="14.453125" defaultRowHeight="15" customHeight="1"/>
  <cols>
    <col min="1" max="1" width="3.7265625" customWidth="1"/>
    <col min="2" max="2" width="27.08984375" customWidth="1"/>
    <col min="3" max="3" width="18.453125" customWidth="1"/>
    <col min="4" max="4" width="12.26953125" customWidth="1"/>
    <col min="5" max="5" width="27.54296875" customWidth="1"/>
    <col min="6" max="8" width="4.54296875" customWidth="1"/>
    <col min="9" max="16" width="9.08984375" customWidth="1"/>
    <col min="17" max="17" width="16" customWidth="1"/>
    <col min="18" max="22" width="7.54296875" customWidth="1"/>
    <col min="23" max="23" width="12.08984375" customWidth="1"/>
    <col min="24" max="24" width="8.26953125" customWidth="1"/>
    <col min="25" max="25" width="10.7265625" customWidth="1"/>
    <col min="26" max="26" width="13.54296875" customWidth="1"/>
    <col min="27" max="27" width="11.81640625" customWidth="1"/>
    <col min="28" max="29" width="7.54296875" customWidth="1"/>
    <col min="30" max="30" width="31.08984375" customWidth="1"/>
    <col min="31" max="31" width="123.81640625" customWidth="1"/>
    <col min="32" max="34" width="21.453125" customWidth="1"/>
  </cols>
  <sheetData>
    <row r="1" spans="1:34" ht="14.5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5">
      <c r="A2" s="105" t="s">
        <v>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"/>
      <c r="AA2" s="1"/>
      <c r="AB2" s="1"/>
      <c r="AC2" s="1"/>
      <c r="AD2" s="1"/>
      <c r="AE2" s="1"/>
      <c r="AF2" s="1"/>
      <c r="AG2" s="1"/>
      <c r="AH2" s="1"/>
    </row>
    <row r="3" spans="1:34" ht="14.5">
      <c r="A3" s="10"/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25" customHeight="1">
      <c r="A4" s="12" t="s">
        <v>5</v>
      </c>
      <c r="B4" s="13" t="s">
        <v>6</v>
      </c>
      <c r="C4" s="14" t="s">
        <v>8</v>
      </c>
      <c r="D4" s="14" t="s">
        <v>9</v>
      </c>
      <c r="E4" s="14" t="s">
        <v>10</v>
      </c>
      <c r="F4" s="16" t="s">
        <v>11</v>
      </c>
      <c r="G4" s="16" t="s">
        <v>13</v>
      </c>
      <c r="H4" s="16" t="s">
        <v>14</v>
      </c>
      <c r="I4" s="106" t="s">
        <v>15</v>
      </c>
      <c r="J4" s="107"/>
      <c r="K4" s="107"/>
      <c r="L4" s="107"/>
      <c r="M4" s="107"/>
      <c r="N4" s="107"/>
      <c r="O4" s="107"/>
      <c r="P4" s="108"/>
      <c r="Q4" s="109" t="s">
        <v>25</v>
      </c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8"/>
      <c r="AD4" s="20"/>
      <c r="AE4" s="20" t="s">
        <v>32</v>
      </c>
      <c r="AF4" s="20"/>
      <c r="AG4" s="20"/>
      <c r="AH4" s="20"/>
    </row>
    <row r="5" spans="1:34" ht="14.5">
      <c r="A5" s="21">
        <v>1</v>
      </c>
      <c r="B5" s="24" t="str">
        <f>'Database Konstelation'!B5</f>
        <v>Ahmadi Muslim</v>
      </c>
      <c r="C5" s="26" t="s">
        <v>38</v>
      </c>
      <c r="D5" s="28" t="s">
        <v>40</v>
      </c>
      <c r="E5" s="31" t="str">
        <f>'Database Konstelation'!C5</f>
        <v>Koperasi</v>
      </c>
      <c r="F5" s="24"/>
      <c r="G5" s="24"/>
      <c r="H5" s="24"/>
      <c r="I5" s="33" t="s">
        <v>46</v>
      </c>
      <c r="J5" s="33"/>
      <c r="K5" s="33"/>
      <c r="L5" s="33"/>
      <c r="M5" s="33"/>
      <c r="N5" s="33"/>
      <c r="O5" s="33"/>
      <c r="P5" s="33"/>
      <c r="Q5" s="31" t="s">
        <v>50</v>
      </c>
      <c r="R5" s="31" t="s">
        <v>51</v>
      </c>
      <c r="S5" s="31" t="s">
        <v>52</v>
      </c>
      <c r="T5" s="31" t="s">
        <v>53</v>
      </c>
      <c r="U5" s="31" t="s">
        <v>54</v>
      </c>
      <c r="V5" s="31" t="s">
        <v>55</v>
      </c>
      <c r="W5" s="31" t="s">
        <v>56</v>
      </c>
      <c r="X5" s="40" t="s">
        <v>57</v>
      </c>
      <c r="Y5" s="40" t="s">
        <v>58</v>
      </c>
      <c r="Z5" s="31" t="s">
        <v>59</v>
      </c>
      <c r="AA5" s="31" t="s">
        <v>60</v>
      </c>
      <c r="AB5" s="31" t="s">
        <v>61</v>
      </c>
      <c r="AC5" s="31" t="s">
        <v>62</v>
      </c>
      <c r="AD5" s="42" t="str">
        <f t="shared" ref="AD5:AD38" si="0">B5</f>
        <v>Ahmadi Muslim</v>
      </c>
      <c r="AE5" s="44"/>
      <c r="AF5" s="44"/>
      <c r="AG5" s="44"/>
      <c r="AH5" s="44"/>
    </row>
    <row r="6" spans="1:34" ht="14.5">
      <c r="A6" s="21">
        <v>2</v>
      </c>
      <c r="B6" s="24" t="str">
        <f>'Database Konstelation'!B6</f>
        <v>Abyadh Hidayatullah</v>
      </c>
      <c r="C6" s="26"/>
      <c r="D6" s="26"/>
      <c r="E6" s="31" t="str">
        <f>'Database Konstelation'!C6</f>
        <v>Inventori sekolah</v>
      </c>
      <c r="F6" s="24"/>
      <c r="G6" s="24"/>
      <c r="H6" s="24"/>
      <c r="I6" s="33" t="s">
        <v>46</v>
      </c>
      <c r="J6" s="33"/>
      <c r="K6" s="33"/>
      <c r="L6" s="33"/>
      <c r="M6" s="33"/>
      <c r="N6" s="33"/>
      <c r="O6" s="33"/>
      <c r="P6" s="33"/>
      <c r="Q6" s="50" t="s">
        <v>50</v>
      </c>
      <c r="R6" s="50" t="s">
        <v>51</v>
      </c>
      <c r="S6" s="50" t="s">
        <v>52</v>
      </c>
      <c r="T6" s="50" t="s">
        <v>53</v>
      </c>
      <c r="U6" s="50" t="s">
        <v>54</v>
      </c>
      <c r="V6" s="50" t="s">
        <v>46</v>
      </c>
      <c r="W6" s="50"/>
      <c r="X6" s="54"/>
      <c r="Y6" s="54"/>
      <c r="Z6" s="50"/>
      <c r="AA6" s="50"/>
      <c r="AB6" s="50"/>
      <c r="AC6" s="50"/>
      <c r="AD6" s="56" t="str">
        <f t="shared" si="0"/>
        <v>Abyadh Hidayatullah</v>
      </c>
      <c r="AE6" s="44"/>
      <c r="AF6" s="44"/>
      <c r="AG6" s="44"/>
      <c r="AH6" s="44"/>
    </row>
    <row r="7" spans="1:34" ht="14.5">
      <c r="A7" s="21">
        <v>3</v>
      </c>
      <c r="B7" s="24" t="str">
        <f>'Database Konstelation'!B7</f>
        <v>Adinda Aprilia</v>
      </c>
      <c r="C7" s="26"/>
      <c r="D7" s="26" t="s">
        <v>83</v>
      </c>
      <c r="E7" s="31" t="str">
        <f>'Database Konstelation'!C7</f>
        <v>SPMB</v>
      </c>
      <c r="F7" s="24"/>
      <c r="G7" s="24"/>
      <c r="H7" s="24"/>
      <c r="I7" s="33" t="s">
        <v>46</v>
      </c>
      <c r="J7" s="33"/>
      <c r="K7" s="33"/>
      <c r="L7" s="33"/>
      <c r="M7" s="33"/>
      <c r="N7" s="33"/>
      <c r="O7" s="33"/>
      <c r="P7" s="33"/>
      <c r="Q7" s="50" t="s">
        <v>50</v>
      </c>
      <c r="R7" s="50" t="s">
        <v>51</v>
      </c>
      <c r="S7" s="50" t="s">
        <v>52</v>
      </c>
      <c r="T7" s="50" t="s">
        <v>53</v>
      </c>
      <c r="U7" s="50" t="s">
        <v>54</v>
      </c>
      <c r="V7" s="50" t="s">
        <v>46</v>
      </c>
      <c r="W7" s="50"/>
      <c r="X7" s="54"/>
      <c r="Y7" s="54"/>
      <c r="Z7" s="50"/>
      <c r="AA7" s="50"/>
      <c r="AB7" s="50"/>
      <c r="AC7" s="50"/>
      <c r="AD7" s="56" t="str">
        <f t="shared" si="0"/>
        <v>Adinda Aprilia</v>
      </c>
      <c r="AE7" s="44"/>
      <c r="AF7" s="44"/>
      <c r="AG7" s="44"/>
      <c r="AH7" s="44"/>
    </row>
    <row r="8" spans="1:34" ht="14.5">
      <c r="A8" s="21">
        <v>4</v>
      </c>
      <c r="B8" s="24" t="str">
        <f>'Database Konstelation'!B8</f>
        <v>Aida Lidiya Nabilah</v>
      </c>
      <c r="C8" s="26"/>
      <c r="D8" s="26"/>
      <c r="E8" s="31" t="str">
        <f>'Database Konstelation'!C8</f>
        <v>Inventaris Kelas</v>
      </c>
      <c r="F8" s="24"/>
      <c r="G8" s="24"/>
      <c r="H8" s="24"/>
      <c r="I8" s="33" t="s">
        <v>46</v>
      </c>
      <c r="J8" s="33"/>
      <c r="K8" s="33"/>
      <c r="L8" s="33"/>
      <c r="M8" s="33"/>
      <c r="N8" s="33"/>
      <c r="O8" s="33"/>
      <c r="P8" s="33"/>
      <c r="Q8" s="50" t="s">
        <v>50</v>
      </c>
      <c r="R8" s="50" t="s">
        <v>51</v>
      </c>
      <c r="S8" s="50" t="s">
        <v>52</v>
      </c>
      <c r="T8" s="50" t="s">
        <v>53</v>
      </c>
      <c r="U8" s="50" t="s">
        <v>54</v>
      </c>
      <c r="V8" s="50" t="s">
        <v>46</v>
      </c>
      <c r="W8" s="50"/>
      <c r="X8" s="54"/>
      <c r="Y8" s="54"/>
      <c r="Z8" s="50"/>
      <c r="AA8" s="50"/>
      <c r="AB8" s="50"/>
      <c r="AC8" s="50"/>
      <c r="AD8" s="56" t="str">
        <f t="shared" si="0"/>
        <v>Aida Lidiya Nabilah</v>
      </c>
      <c r="AE8" s="44"/>
      <c r="AF8" s="44"/>
      <c r="AG8" s="44"/>
      <c r="AH8" s="44"/>
    </row>
    <row r="9" spans="1:34" ht="14.5">
      <c r="A9" s="21">
        <v>5</v>
      </c>
      <c r="B9" s="24" t="str">
        <f>'Database Konstelation'!B9</f>
        <v>Alya 'Aqila Zulfaa</v>
      </c>
      <c r="C9" s="26"/>
      <c r="D9" s="26" t="s">
        <v>96</v>
      </c>
      <c r="E9" s="31" t="str">
        <f>'Database Konstelation'!C9</f>
        <v>Surat izin siswa</v>
      </c>
      <c r="F9" s="24"/>
      <c r="G9" s="24"/>
      <c r="H9" s="24"/>
      <c r="I9" s="33" t="s">
        <v>46</v>
      </c>
      <c r="J9" s="33"/>
      <c r="K9" s="33"/>
      <c r="L9" s="33"/>
      <c r="M9" s="33"/>
      <c r="N9" s="33"/>
      <c r="O9" s="33"/>
      <c r="P9" s="33"/>
      <c r="Q9" s="50" t="s">
        <v>50</v>
      </c>
      <c r="R9" s="50" t="s">
        <v>51</v>
      </c>
      <c r="S9" s="50" t="s">
        <v>52</v>
      </c>
      <c r="T9" s="50" t="s">
        <v>53</v>
      </c>
      <c r="U9" s="50" t="s">
        <v>54</v>
      </c>
      <c r="V9" s="50" t="s">
        <v>46</v>
      </c>
      <c r="W9" s="50"/>
      <c r="X9" s="54"/>
      <c r="Y9" s="54"/>
      <c r="Z9" s="50"/>
      <c r="AA9" s="50"/>
      <c r="AB9" s="50"/>
      <c r="AC9" s="50"/>
      <c r="AD9" s="56" t="str">
        <f t="shared" si="0"/>
        <v>Alya 'Aqila Zulfaa</v>
      </c>
      <c r="AE9" s="44"/>
      <c r="AF9" s="44"/>
      <c r="AG9" s="44"/>
      <c r="AH9" s="44"/>
    </row>
    <row r="10" spans="1:34" ht="14.5">
      <c r="A10" s="21">
        <v>6</v>
      </c>
      <c r="B10" s="24" t="str">
        <f>'Database Konstelation'!B10</f>
        <v>Amelia Fathar Nst</v>
      </c>
      <c r="C10" s="26"/>
      <c r="D10" s="26" t="s">
        <v>109</v>
      </c>
      <c r="E10" s="31" t="str">
        <f>'Database Konstelation'!C10</f>
        <v>Jadwal Pelajaran</v>
      </c>
      <c r="F10" s="24"/>
      <c r="G10" s="24"/>
      <c r="H10" s="24"/>
      <c r="I10" s="33" t="s">
        <v>46</v>
      </c>
      <c r="J10" s="33"/>
      <c r="K10" s="33"/>
      <c r="L10" s="33"/>
      <c r="M10" s="33"/>
      <c r="N10" s="33"/>
      <c r="O10" s="33"/>
      <c r="P10" s="33"/>
      <c r="Q10" s="50" t="s">
        <v>50</v>
      </c>
      <c r="R10" s="50" t="s">
        <v>51</v>
      </c>
      <c r="S10" s="50" t="s">
        <v>52</v>
      </c>
      <c r="T10" s="50" t="s">
        <v>53</v>
      </c>
      <c r="U10" s="50" t="s">
        <v>54</v>
      </c>
      <c r="V10" s="50" t="s">
        <v>46</v>
      </c>
      <c r="W10" s="50"/>
      <c r="X10" s="54"/>
      <c r="Y10" s="54"/>
      <c r="Z10" s="50"/>
      <c r="AA10" s="50"/>
      <c r="AB10" s="50"/>
      <c r="AC10" s="50"/>
      <c r="AD10" s="56" t="str">
        <f t="shared" si="0"/>
        <v>Amelia Fathar Nst</v>
      </c>
      <c r="AE10" s="61"/>
      <c r="AF10" s="62"/>
      <c r="AG10" s="62"/>
      <c r="AH10" s="62"/>
    </row>
    <row r="11" spans="1:34" ht="14.5">
      <c r="A11" s="21">
        <v>7</v>
      </c>
      <c r="B11" s="24" t="str">
        <f>'Database Konstelation'!B11</f>
        <v>Cahaya Putri Asyasyuara E.</v>
      </c>
      <c r="C11" s="26"/>
      <c r="D11" s="26" t="s">
        <v>129</v>
      </c>
      <c r="E11" s="31" t="str">
        <f>'Database Konstelation'!C11</f>
        <v>Perpustakaan</v>
      </c>
      <c r="F11" s="24"/>
      <c r="G11" s="24"/>
      <c r="H11" s="24"/>
      <c r="I11" s="33" t="s">
        <v>46</v>
      </c>
      <c r="J11" s="33"/>
      <c r="K11" s="33"/>
      <c r="L11" s="33"/>
      <c r="M11" s="33"/>
      <c r="N11" s="33"/>
      <c r="O11" s="33"/>
      <c r="P11" s="33"/>
      <c r="Q11" s="50" t="s">
        <v>50</v>
      </c>
      <c r="R11" s="50" t="s">
        <v>51</v>
      </c>
      <c r="S11" s="50" t="s">
        <v>52</v>
      </c>
      <c r="T11" s="50" t="s">
        <v>53</v>
      </c>
      <c r="U11" s="50" t="s">
        <v>54</v>
      </c>
      <c r="V11" s="50" t="s">
        <v>46</v>
      </c>
      <c r="W11" s="50"/>
      <c r="X11" s="54"/>
      <c r="Y11" s="54"/>
      <c r="Z11" s="50"/>
      <c r="AA11" s="50"/>
      <c r="AB11" s="50"/>
      <c r="AC11" s="50"/>
      <c r="AD11" s="56" t="str">
        <f t="shared" si="0"/>
        <v>Cahaya Putri Asyasyuara E.</v>
      </c>
      <c r="AE11" s="44"/>
      <c r="AF11" s="44"/>
      <c r="AG11" s="44"/>
      <c r="AH11" s="44"/>
    </row>
    <row r="12" spans="1:34" ht="14.5">
      <c r="A12" s="21">
        <v>8</v>
      </c>
      <c r="B12" s="24" t="str">
        <f>'Database Konstelation'!B12</f>
        <v>Dewi Rahmah</v>
      </c>
      <c r="C12" s="26" t="s">
        <v>136</v>
      </c>
      <c r="D12" s="26"/>
      <c r="E12" s="31" t="str">
        <f>'Database Konstelation'!C12</f>
        <v>web sekolah</v>
      </c>
      <c r="F12" s="24"/>
      <c r="G12" s="24"/>
      <c r="H12" s="24"/>
      <c r="I12" s="33" t="s">
        <v>46</v>
      </c>
      <c r="J12" s="33"/>
      <c r="K12" s="33"/>
      <c r="L12" s="33"/>
      <c r="M12" s="33"/>
      <c r="N12" s="33"/>
      <c r="O12" s="33"/>
      <c r="P12" s="33"/>
      <c r="Q12" s="50" t="s">
        <v>50</v>
      </c>
      <c r="R12" s="50" t="s">
        <v>51</v>
      </c>
      <c r="S12" s="50" t="s">
        <v>52</v>
      </c>
      <c r="T12" s="50" t="s">
        <v>53</v>
      </c>
      <c r="U12" s="50" t="s">
        <v>54</v>
      </c>
      <c r="V12" s="50" t="s">
        <v>46</v>
      </c>
      <c r="W12" s="50"/>
      <c r="X12" s="54"/>
      <c r="Y12" s="54"/>
      <c r="Z12" s="50"/>
      <c r="AA12" s="50"/>
      <c r="AB12" s="50"/>
      <c r="AC12" s="50"/>
      <c r="AD12" s="56" t="str">
        <f t="shared" si="0"/>
        <v>Dewi Rahmah</v>
      </c>
      <c r="AE12" s="44"/>
      <c r="AF12" s="44"/>
      <c r="AG12" s="44"/>
      <c r="AH12" s="44"/>
    </row>
    <row r="13" spans="1:34" ht="14.5">
      <c r="A13" s="21">
        <v>9</v>
      </c>
      <c r="B13" s="24" t="str">
        <f>'Database Konstelation'!B13</f>
        <v>Eka Lisa Apriliani</v>
      </c>
      <c r="C13" s="26" t="s">
        <v>140</v>
      </c>
      <c r="D13" s="26" t="s">
        <v>142</v>
      </c>
      <c r="E13" s="31" t="str">
        <f>'Database Konstelation'!C13</f>
        <v>Lapor Buli</v>
      </c>
      <c r="F13" s="24"/>
      <c r="G13" s="24"/>
      <c r="H13" s="24"/>
      <c r="I13" s="33" t="s">
        <v>46</v>
      </c>
      <c r="J13" s="33"/>
      <c r="K13" s="33"/>
      <c r="L13" s="33"/>
      <c r="M13" s="33"/>
      <c r="N13" s="33"/>
      <c r="O13" s="33"/>
      <c r="P13" s="33"/>
      <c r="Q13" s="50" t="s">
        <v>50</v>
      </c>
      <c r="R13" s="50" t="s">
        <v>51</v>
      </c>
      <c r="S13" s="50" t="s">
        <v>52</v>
      </c>
      <c r="T13" s="50" t="s">
        <v>53</v>
      </c>
      <c r="U13" s="50" t="s">
        <v>54</v>
      </c>
      <c r="V13" s="50" t="s">
        <v>46</v>
      </c>
      <c r="W13" s="50"/>
      <c r="X13" s="54"/>
      <c r="Y13" s="54"/>
      <c r="Z13" s="50"/>
      <c r="AA13" s="50"/>
      <c r="AB13" s="50"/>
      <c r="AC13" s="50"/>
      <c r="AD13" s="56" t="str">
        <f t="shared" si="0"/>
        <v>Eka Lisa Apriliani</v>
      </c>
      <c r="AE13" s="61"/>
      <c r="AF13" s="44"/>
      <c r="AG13" s="44"/>
      <c r="AH13" s="44"/>
    </row>
    <row r="14" spans="1:34" ht="14.5">
      <c r="A14" s="21">
        <v>10</v>
      </c>
      <c r="B14" s="24" t="str">
        <f>'Database Konstelation'!B14</f>
        <v>Faldan Affadil</v>
      </c>
      <c r="C14" s="26"/>
      <c r="D14" s="26"/>
      <c r="E14" s="31" t="str">
        <f>'Database Konstelation'!C14</f>
        <v>piket guru</v>
      </c>
      <c r="F14" s="24"/>
      <c r="G14" s="24"/>
      <c r="H14" s="24"/>
      <c r="I14" s="33" t="s">
        <v>46</v>
      </c>
      <c r="J14" s="33"/>
      <c r="K14" s="33"/>
      <c r="L14" s="33"/>
      <c r="M14" s="33"/>
      <c r="N14" s="33"/>
      <c r="O14" s="33"/>
      <c r="P14" s="33"/>
      <c r="Q14" s="50" t="s">
        <v>50</v>
      </c>
      <c r="R14" s="50" t="s">
        <v>51</v>
      </c>
      <c r="S14" s="50" t="s">
        <v>52</v>
      </c>
      <c r="T14" s="50" t="s">
        <v>53</v>
      </c>
      <c r="U14" s="50" t="s">
        <v>54</v>
      </c>
      <c r="V14" s="50" t="s">
        <v>46</v>
      </c>
      <c r="W14" s="50"/>
      <c r="X14" s="54"/>
      <c r="Y14" s="54"/>
      <c r="Z14" s="50"/>
      <c r="AA14" s="50"/>
      <c r="AB14" s="50"/>
      <c r="AC14" s="50"/>
      <c r="AD14" s="56" t="str">
        <f t="shared" si="0"/>
        <v>Faldan Affadil</v>
      </c>
      <c r="AE14" s="61"/>
      <c r="AF14" s="44"/>
      <c r="AG14" s="44"/>
      <c r="AH14" s="44"/>
    </row>
    <row r="15" spans="1:34" ht="14.5">
      <c r="A15" s="21">
        <v>11</v>
      </c>
      <c r="B15" s="24" t="str">
        <f>'Database Konstelation'!B15</f>
        <v>Gella Meylita</v>
      </c>
      <c r="C15" s="26" t="s">
        <v>157</v>
      </c>
      <c r="D15" s="26" t="s">
        <v>158</v>
      </c>
      <c r="E15" s="31" t="str">
        <f>'Database Konstelation'!C15</f>
        <v>Absen OSIS</v>
      </c>
      <c r="F15" s="24"/>
      <c r="G15" s="24"/>
      <c r="H15" s="24"/>
      <c r="I15" s="33" t="s">
        <v>46</v>
      </c>
      <c r="J15" s="33"/>
      <c r="K15" s="33"/>
      <c r="L15" s="33"/>
      <c r="M15" s="33"/>
      <c r="N15" s="33"/>
      <c r="O15" s="33"/>
      <c r="P15" s="33"/>
      <c r="Q15" s="50" t="s">
        <v>50</v>
      </c>
      <c r="R15" s="50" t="s">
        <v>51</v>
      </c>
      <c r="S15" s="50" t="s">
        <v>52</v>
      </c>
      <c r="T15" s="50" t="s">
        <v>53</v>
      </c>
      <c r="U15" s="50" t="s">
        <v>54</v>
      </c>
      <c r="V15" s="50" t="s">
        <v>46</v>
      </c>
      <c r="W15" s="50"/>
      <c r="X15" s="54"/>
      <c r="Y15" s="54"/>
      <c r="Z15" s="50"/>
      <c r="AA15" s="50"/>
      <c r="AB15" s="50"/>
      <c r="AC15" s="50"/>
      <c r="AD15" s="56" t="str">
        <f t="shared" si="0"/>
        <v>Gella Meylita</v>
      </c>
      <c r="AE15" s="62"/>
      <c r="AF15" s="62"/>
      <c r="AG15" s="62"/>
      <c r="AH15" s="62"/>
    </row>
    <row r="16" spans="1:34" ht="14.5">
      <c r="A16" s="21">
        <v>12</v>
      </c>
      <c r="B16" s="24" t="str">
        <f>'Database Konstelation'!B16</f>
        <v>Haikhal Syahputra</v>
      </c>
      <c r="C16" s="26"/>
      <c r="D16" s="26"/>
      <c r="E16" s="31">
        <f>'Database Konstelation'!C16</f>
        <v>0</v>
      </c>
      <c r="F16" s="24"/>
      <c r="G16" s="24"/>
      <c r="H16" s="24"/>
      <c r="I16" s="33" t="s">
        <v>46</v>
      </c>
      <c r="J16" s="33"/>
      <c r="K16" s="33"/>
      <c r="L16" s="33"/>
      <c r="M16" s="33"/>
      <c r="N16" s="33"/>
      <c r="O16" s="33"/>
      <c r="P16" s="33"/>
      <c r="Q16" s="50" t="s">
        <v>50</v>
      </c>
      <c r="R16" s="50" t="s">
        <v>51</v>
      </c>
      <c r="S16" s="50" t="s">
        <v>52</v>
      </c>
      <c r="T16" s="50" t="s">
        <v>53</v>
      </c>
      <c r="U16" s="50" t="s">
        <v>54</v>
      </c>
      <c r="V16" s="50" t="s">
        <v>46</v>
      </c>
      <c r="W16" s="50"/>
      <c r="X16" s="54"/>
      <c r="Y16" s="54"/>
      <c r="Z16" s="50"/>
      <c r="AA16" s="50"/>
      <c r="AB16" s="50"/>
      <c r="AC16" s="50"/>
      <c r="AD16" s="56" t="str">
        <f t="shared" si="0"/>
        <v>Haikhal Syahputra</v>
      </c>
      <c r="AE16" s="70"/>
      <c r="AF16" s="70"/>
      <c r="AG16" s="70"/>
      <c r="AH16" s="70"/>
    </row>
    <row r="17" spans="1:34" ht="14.5">
      <c r="A17" s="21">
        <v>13</v>
      </c>
      <c r="B17" s="24" t="str">
        <f>'Database Konstelation'!B17</f>
        <v>Hayfa Sakhiy</v>
      </c>
      <c r="C17" s="26" t="s">
        <v>176</v>
      </c>
      <c r="D17" s="26" t="s">
        <v>178</v>
      </c>
      <c r="E17" s="31" t="str">
        <f>'Database Konstelation'!C17</f>
        <v>web Ekskul</v>
      </c>
      <c r="F17" s="24"/>
      <c r="G17" s="24"/>
      <c r="H17" s="24"/>
      <c r="I17" s="33" t="s">
        <v>46</v>
      </c>
      <c r="J17" s="33"/>
      <c r="K17" s="33"/>
      <c r="L17" s="33"/>
      <c r="M17" s="33"/>
      <c r="N17" s="33"/>
      <c r="O17" s="33"/>
      <c r="P17" s="33"/>
      <c r="Q17" s="50" t="s">
        <v>50</v>
      </c>
      <c r="R17" s="50" t="s">
        <v>51</v>
      </c>
      <c r="S17" s="50" t="s">
        <v>52</v>
      </c>
      <c r="T17" s="50" t="s">
        <v>53</v>
      </c>
      <c r="U17" s="50" t="s">
        <v>54</v>
      </c>
      <c r="V17" s="50" t="s">
        <v>46</v>
      </c>
      <c r="W17" s="50"/>
      <c r="X17" s="54"/>
      <c r="Y17" s="54"/>
      <c r="Z17" s="50"/>
      <c r="AA17" s="50"/>
      <c r="AB17" s="50"/>
      <c r="AC17" s="50"/>
      <c r="AD17" s="56" t="str">
        <f t="shared" si="0"/>
        <v>Hayfa Sakhiy</v>
      </c>
      <c r="AE17" s="70"/>
      <c r="AF17" s="70"/>
      <c r="AG17" s="70"/>
      <c r="AH17" s="70"/>
    </row>
    <row r="18" spans="1:34" ht="14.5">
      <c r="A18" s="21">
        <v>14</v>
      </c>
      <c r="B18" s="24" t="str">
        <f>'Database Konstelation'!B18</f>
        <v>Mariescha Najwaa</v>
      </c>
      <c r="C18" s="26"/>
      <c r="D18" s="26" t="s">
        <v>191</v>
      </c>
      <c r="E18" s="31" t="str">
        <f>'Database Konstelation'!C18</f>
        <v>lapor kebersihan</v>
      </c>
      <c r="F18" s="24"/>
      <c r="G18" s="24"/>
      <c r="H18" s="24"/>
      <c r="I18" s="33" t="s">
        <v>46</v>
      </c>
      <c r="J18" s="33"/>
      <c r="K18" s="33"/>
      <c r="L18" s="33"/>
      <c r="M18" s="33"/>
      <c r="N18" s="33"/>
      <c r="O18" s="33"/>
      <c r="P18" s="33"/>
      <c r="Q18" s="50" t="s">
        <v>50</v>
      </c>
      <c r="R18" s="50" t="s">
        <v>51</v>
      </c>
      <c r="S18" s="50" t="s">
        <v>52</v>
      </c>
      <c r="T18" s="50" t="s">
        <v>53</v>
      </c>
      <c r="U18" s="50" t="s">
        <v>54</v>
      </c>
      <c r="V18" s="50" t="s">
        <v>46</v>
      </c>
      <c r="W18" s="50"/>
      <c r="X18" s="54"/>
      <c r="Y18" s="54"/>
      <c r="Z18" s="50"/>
      <c r="AA18" s="50"/>
      <c r="AB18" s="50"/>
      <c r="AC18" s="50"/>
      <c r="AD18" s="56" t="str">
        <f t="shared" si="0"/>
        <v>Mariescha Najwaa</v>
      </c>
      <c r="AE18" s="70"/>
      <c r="AF18" s="70"/>
      <c r="AG18" s="70"/>
      <c r="AH18" s="70"/>
    </row>
    <row r="19" spans="1:34" ht="14.5">
      <c r="A19" s="21">
        <v>15</v>
      </c>
      <c r="B19" s="24" t="str">
        <f>'Database Konstelation'!B19</f>
        <v>Maya</v>
      </c>
      <c r="C19" s="26"/>
      <c r="D19" s="26" t="s">
        <v>199</v>
      </c>
      <c r="E19" s="31" t="str">
        <f>'Database Konstelation'!C19</f>
        <v>Keterlambatan siswa</v>
      </c>
      <c r="F19" s="24"/>
      <c r="G19" s="24"/>
      <c r="H19" s="24"/>
      <c r="I19" s="33" t="s">
        <v>46</v>
      </c>
      <c r="J19" s="33"/>
      <c r="K19" s="33"/>
      <c r="L19" s="33"/>
      <c r="M19" s="33"/>
      <c r="N19" s="33"/>
      <c r="O19" s="33"/>
      <c r="P19" s="33"/>
      <c r="Q19" s="50" t="s">
        <v>50</v>
      </c>
      <c r="R19" s="50" t="s">
        <v>51</v>
      </c>
      <c r="S19" s="50" t="s">
        <v>52</v>
      </c>
      <c r="T19" s="50" t="s">
        <v>53</v>
      </c>
      <c r="U19" s="50" t="s">
        <v>54</v>
      </c>
      <c r="V19" s="50" t="s">
        <v>46</v>
      </c>
      <c r="W19" s="50"/>
      <c r="X19" s="54"/>
      <c r="Y19" s="54"/>
      <c r="Z19" s="50"/>
      <c r="AA19" s="50"/>
      <c r="AB19" s="50"/>
      <c r="AC19" s="50"/>
      <c r="AD19" s="56" t="str">
        <f t="shared" si="0"/>
        <v>Maya</v>
      </c>
      <c r="AE19" s="70"/>
      <c r="AF19" s="70"/>
      <c r="AG19" s="70"/>
      <c r="AH19" s="70"/>
    </row>
    <row r="20" spans="1:34" ht="14.5">
      <c r="A20" s="21">
        <v>16</v>
      </c>
      <c r="B20" s="24" t="str">
        <f>'Database Konstelation'!B20</f>
        <v>Miftahul Zannah</v>
      </c>
      <c r="C20" s="26" t="s">
        <v>203</v>
      </c>
      <c r="D20" s="26" t="s">
        <v>96</v>
      </c>
      <c r="E20" s="31" t="str">
        <f>'Database Konstelation'!C20</f>
        <v>buku tamu</v>
      </c>
      <c r="F20" s="24"/>
      <c r="G20" s="24"/>
      <c r="H20" s="24"/>
      <c r="I20" s="33" t="s">
        <v>46</v>
      </c>
      <c r="J20" s="33"/>
      <c r="K20" s="33"/>
      <c r="L20" s="33"/>
      <c r="M20" s="33"/>
      <c r="N20" s="33"/>
      <c r="O20" s="33"/>
      <c r="P20" s="33"/>
      <c r="Q20" s="50" t="s">
        <v>50</v>
      </c>
      <c r="R20" s="50" t="s">
        <v>51</v>
      </c>
      <c r="S20" s="50" t="s">
        <v>52</v>
      </c>
      <c r="T20" s="50" t="s">
        <v>53</v>
      </c>
      <c r="U20" s="50" t="s">
        <v>54</v>
      </c>
      <c r="V20" s="50" t="s">
        <v>46</v>
      </c>
      <c r="W20" s="50"/>
      <c r="X20" s="54"/>
      <c r="Y20" s="54"/>
      <c r="Z20" s="50"/>
      <c r="AA20" s="50"/>
      <c r="AB20" s="50"/>
      <c r="AC20" s="50"/>
      <c r="AD20" s="56" t="str">
        <f t="shared" si="0"/>
        <v>Miftahul Zannah</v>
      </c>
      <c r="AE20" s="73"/>
      <c r="AF20" s="70"/>
      <c r="AG20" s="70"/>
      <c r="AH20" s="70"/>
    </row>
    <row r="21" spans="1:34" ht="15.75" customHeight="1">
      <c r="A21" s="21">
        <v>17</v>
      </c>
      <c r="B21" s="24" t="str">
        <f>'Database Konstelation'!B21</f>
        <v>Nazwa Ramadhani</v>
      </c>
      <c r="C21" s="26" t="s">
        <v>157</v>
      </c>
      <c r="D21" s="26" t="s">
        <v>219</v>
      </c>
      <c r="E21" s="31" t="str">
        <f>'Database Konstelation'!C21</f>
        <v>catat pelanggaran</v>
      </c>
      <c r="F21" s="24"/>
      <c r="G21" s="24"/>
      <c r="H21" s="24"/>
      <c r="I21" s="33" t="s">
        <v>46</v>
      </c>
      <c r="J21" s="33"/>
      <c r="K21" s="33"/>
      <c r="L21" s="33"/>
      <c r="M21" s="33"/>
      <c r="N21" s="33"/>
      <c r="O21" s="33"/>
      <c r="P21" s="33"/>
      <c r="Q21" s="50" t="s">
        <v>50</v>
      </c>
      <c r="R21" s="50" t="s">
        <v>51</v>
      </c>
      <c r="S21" s="50" t="s">
        <v>52</v>
      </c>
      <c r="T21" s="50" t="s">
        <v>53</v>
      </c>
      <c r="U21" s="50" t="s">
        <v>54</v>
      </c>
      <c r="V21" s="50" t="s">
        <v>46</v>
      </c>
      <c r="W21" s="50"/>
      <c r="X21" s="54"/>
      <c r="Y21" s="54"/>
      <c r="Z21" s="50"/>
      <c r="AA21" s="50"/>
      <c r="AB21" s="50"/>
      <c r="AC21" s="50"/>
      <c r="AD21" s="56" t="str">
        <f t="shared" si="0"/>
        <v>Nazwa Ramadhani</v>
      </c>
      <c r="AE21" s="70"/>
      <c r="AF21" s="70"/>
      <c r="AG21" s="70"/>
      <c r="AH21" s="70"/>
    </row>
    <row r="22" spans="1:34" ht="15.75" customHeight="1">
      <c r="A22" s="21">
        <v>18</v>
      </c>
      <c r="B22" s="24" t="str">
        <f>'Database Konstelation'!B22</f>
        <v>Nazzira Pusvita Sari</v>
      </c>
      <c r="C22" s="26"/>
      <c r="D22" s="26"/>
      <c r="E22" s="31" t="str">
        <f>'Database Konstelation'!C22</f>
        <v xml:space="preserve">tata usaha </v>
      </c>
      <c r="F22" s="24"/>
      <c r="G22" s="24"/>
      <c r="H22" s="24"/>
      <c r="I22" s="33" t="s">
        <v>46</v>
      </c>
      <c r="J22" s="33"/>
      <c r="K22" s="33"/>
      <c r="L22" s="33"/>
      <c r="M22" s="33"/>
      <c r="N22" s="33"/>
      <c r="O22" s="33"/>
      <c r="P22" s="33"/>
      <c r="Q22" s="50" t="s">
        <v>50</v>
      </c>
      <c r="R22" s="50" t="s">
        <v>51</v>
      </c>
      <c r="S22" s="50" t="s">
        <v>52</v>
      </c>
      <c r="T22" s="50" t="s">
        <v>53</v>
      </c>
      <c r="U22" s="50" t="s">
        <v>54</v>
      </c>
      <c r="V22" s="50" t="s">
        <v>46</v>
      </c>
      <c r="W22" s="50"/>
      <c r="X22" s="54"/>
      <c r="Y22" s="54"/>
      <c r="Z22" s="50"/>
      <c r="AA22" s="50"/>
      <c r="AB22" s="50"/>
      <c r="AC22" s="50"/>
      <c r="AD22" s="56" t="str">
        <f t="shared" si="0"/>
        <v>Nazzira Pusvita Sari</v>
      </c>
      <c r="AE22" s="70"/>
      <c r="AF22" s="70"/>
      <c r="AG22" s="70"/>
      <c r="AH22" s="70"/>
    </row>
    <row r="23" spans="1:34" ht="15.75" customHeight="1">
      <c r="A23" s="21">
        <v>19</v>
      </c>
      <c r="B23" s="24" t="str">
        <f>'Database Konstelation'!B23</f>
        <v>Novi Yanti</v>
      </c>
      <c r="C23" s="26" t="s">
        <v>235</v>
      </c>
      <c r="D23" s="26" t="s">
        <v>236</v>
      </c>
      <c r="E23" s="31" t="str">
        <f>'Database Konstelation'!C23</f>
        <v>absen kehadiran siswa</v>
      </c>
      <c r="F23" s="24"/>
      <c r="G23" s="24"/>
      <c r="H23" s="24"/>
      <c r="I23" s="33" t="s">
        <v>46</v>
      </c>
      <c r="J23" s="33"/>
      <c r="K23" s="33"/>
      <c r="L23" s="33"/>
      <c r="M23" s="33"/>
      <c r="N23" s="33"/>
      <c r="O23" s="33"/>
      <c r="P23" s="33"/>
      <c r="Q23" s="50" t="s">
        <v>50</v>
      </c>
      <c r="R23" s="50" t="s">
        <v>51</v>
      </c>
      <c r="S23" s="50" t="s">
        <v>52</v>
      </c>
      <c r="T23" s="50" t="s">
        <v>53</v>
      </c>
      <c r="U23" s="50" t="s">
        <v>54</v>
      </c>
      <c r="V23" s="50" t="s">
        <v>46</v>
      </c>
      <c r="W23" s="50"/>
      <c r="X23" s="54"/>
      <c r="Y23" s="54"/>
      <c r="Z23" s="50"/>
      <c r="AA23" s="50"/>
      <c r="AB23" s="50"/>
      <c r="AC23" s="50"/>
      <c r="AD23" s="56" t="str">
        <f t="shared" si="0"/>
        <v>Novi Yanti</v>
      </c>
      <c r="AE23" s="70"/>
      <c r="AF23" s="70"/>
      <c r="AG23" s="70"/>
      <c r="AH23" s="70"/>
    </row>
    <row r="24" spans="1:34" ht="15.75" customHeight="1">
      <c r="A24" s="21">
        <v>20</v>
      </c>
      <c r="B24" s="24" t="str">
        <f>'Database Konstelation'!B24</f>
        <v>Nurhalizah</v>
      </c>
      <c r="C24" s="26"/>
      <c r="D24" s="26"/>
      <c r="E24" s="31" t="str">
        <f>'Database Konstelation'!C24</f>
        <v>jadwal pelajaran</v>
      </c>
      <c r="F24" s="24"/>
      <c r="G24" s="24"/>
      <c r="H24" s="24"/>
      <c r="I24" s="33" t="s">
        <v>46</v>
      </c>
      <c r="J24" s="33"/>
      <c r="K24" s="33"/>
      <c r="L24" s="33"/>
      <c r="M24" s="33"/>
      <c r="N24" s="33"/>
      <c r="O24" s="33"/>
      <c r="P24" s="33"/>
      <c r="Q24" s="50" t="s">
        <v>50</v>
      </c>
      <c r="R24" s="50" t="s">
        <v>51</v>
      </c>
      <c r="S24" s="50" t="s">
        <v>52</v>
      </c>
      <c r="T24" s="50" t="s">
        <v>53</v>
      </c>
      <c r="U24" s="50" t="s">
        <v>54</v>
      </c>
      <c r="V24" s="50" t="s">
        <v>46</v>
      </c>
      <c r="W24" s="50"/>
      <c r="X24" s="54"/>
      <c r="Y24" s="54"/>
      <c r="Z24" s="50"/>
      <c r="AA24" s="50"/>
      <c r="AB24" s="50"/>
      <c r="AC24" s="50"/>
      <c r="AD24" s="56" t="str">
        <f t="shared" si="0"/>
        <v>Nurhalizah</v>
      </c>
      <c r="AE24" s="70"/>
      <c r="AF24" s="70"/>
      <c r="AG24" s="70"/>
      <c r="AH24" s="70"/>
    </row>
    <row r="25" spans="1:34" ht="15.75" customHeight="1">
      <c r="A25" s="21">
        <v>21</v>
      </c>
      <c r="B25" s="24" t="str">
        <f>'Database Konstelation'!B25</f>
        <v>Nurul Aini Nasution</v>
      </c>
      <c r="C25" s="26" t="s">
        <v>157</v>
      </c>
      <c r="D25" s="26" t="s">
        <v>158</v>
      </c>
      <c r="E25" s="31" t="s">
        <v>167</v>
      </c>
      <c r="F25" s="24"/>
      <c r="G25" s="24"/>
      <c r="H25" s="24"/>
      <c r="I25" s="33" t="s">
        <v>46</v>
      </c>
      <c r="J25" s="33"/>
      <c r="K25" s="33"/>
      <c r="L25" s="33"/>
      <c r="M25" s="33"/>
      <c r="N25" s="33"/>
      <c r="O25" s="33"/>
      <c r="P25" s="33"/>
      <c r="Q25" s="50" t="s">
        <v>50</v>
      </c>
      <c r="R25" s="50" t="s">
        <v>51</v>
      </c>
      <c r="S25" s="50" t="s">
        <v>52</v>
      </c>
      <c r="T25" s="50" t="s">
        <v>53</v>
      </c>
      <c r="U25" s="50" t="s">
        <v>54</v>
      </c>
      <c r="V25" s="50" t="s">
        <v>46</v>
      </c>
      <c r="W25" s="50"/>
      <c r="X25" s="54"/>
      <c r="Y25" s="54"/>
      <c r="Z25" s="50"/>
      <c r="AA25" s="50"/>
      <c r="AB25" s="50"/>
      <c r="AC25" s="50"/>
      <c r="AD25" s="56" t="str">
        <f t="shared" si="0"/>
        <v>Nurul Aini Nasution</v>
      </c>
      <c r="AE25" s="70"/>
      <c r="AF25" s="70"/>
      <c r="AG25" s="70"/>
      <c r="AH25" s="70"/>
    </row>
    <row r="26" spans="1:34" ht="15.75" customHeight="1">
      <c r="A26" s="21">
        <v>22</v>
      </c>
      <c r="B26" s="24" t="str">
        <f>'Database Konstelation'!B26</f>
        <v>Raffa Ramadhan</v>
      </c>
      <c r="C26" s="26"/>
      <c r="D26" s="26"/>
      <c r="E26" s="31" t="str">
        <f>'Database Konstelation'!C26</f>
        <v>aplikasi pengumpulan tugas siswa</v>
      </c>
      <c r="F26" s="24"/>
      <c r="G26" s="24"/>
      <c r="H26" s="24"/>
      <c r="I26" s="33" t="s">
        <v>46</v>
      </c>
      <c r="J26" s="33"/>
      <c r="K26" s="33"/>
      <c r="L26" s="33"/>
      <c r="M26" s="33"/>
      <c r="N26" s="33"/>
      <c r="O26" s="33"/>
      <c r="P26" s="33"/>
      <c r="Q26" s="50" t="s">
        <v>50</v>
      </c>
      <c r="R26" s="50" t="s">
        <v>51</v>
      </c>
      <c r="S26" s="50" t="s">
        <v>52</v>
      </c>
      <c r="T26" s="50" t="s">
        <v>53</v>
      </c>
      <c r="U26" s="50" t="s">
        <v>54</v>
      </c>
      <c r="V26" s="50" t="s">
        <v>46</v>
      </c>
      <c r="W26" s="50"/>
      <c r="X26" s="54"/>
      <c r="Y26" s="54"/>
      <c r="Z26" s="50"/>
      <c r="AA26" s="50"/>
      <c r="AB26" s="50"/>
      <c r="AC26" s="50"/>
      <c r="AD26" s="56" t="str">
        <f t="shared" si="0"/>
        <v>Raffa Ramadhan</v>
      </c>
      <c r="AE26" s="70"/>
      <c r="AF26" s="70"/>
      <c r="AG26" s="70"/>
      <c r="AH26" s="70"/>
    </row>
    <row r="27" spans="1:34" ht="15.75" customHeight="1">
      <c r="A27" s="21">
        <v>23</v>
      </c>
      <c r="B27" s="24" t="str">
        <f>'Database Konstelation'!B27</f>
        <v>Reisha Armaini</v>
      </c>
      <c r="C27" s="26" t="s">
        <v>235</v>
      </c>
      <c r="D27" s="26" t="s">
        <v>236</v>
      </c>
      <c r="E27" s="31" t="str">
        <f>'Database Konstelation'!C27</f>
        <v>LMS</v>
      </c>
      <c r="F27" s="24"/>
      <c r="G27" s="24"/>
      <c r="H27" s="24"/>
      <c r="I27" s="33" t="s">
        <v>46</v>
      </c>
      <c r="J27" s="33"/>
      <c r="K27" s="33"/>
      <c r="L27" s="33"/>
      <c r="M27" s="33"/>
      <c r="N27" s="33"/>
      <c r="O27" s="33"/>
      <c r="P27" s="33"/>
      <c r="Q27" s="50" t="s">
        <v>50</v>
      </c>
      <c r="R27" s="50" t="s">
        <v>51</v>
      </c>
      <c r="S27" s="50" t="s">
        <v>52</v>
      </c>
      <c r="T27" s="50" t="s">
        <v>53</v>
      </c>
      <c r="U27" s="50" t="s">
        <v>54</v>
      </c>
      <c r="V27" s="50" t="s">
        <v>46</v>
      </c>
      <c r="W27" s="50"/>
      <c r="X27" s="54"/>
      <c r="Y27" s="54"/>
      <c r="Z27" s="50"/>
      <c r="AA27" s="50"/>
      <c r="AB27" s="50"/>
      <c r="AC27" s="50"/>
      <c r="AD27" s="56" t="str">
        <f t="shared" si="0"/>
        <v>Reisha Armaini</v>
      </c>
      <c r="AE27" s="70"/>
      <c r="AF27" s="70"/>
      <c r="AG27" s="70"/>
      <c r="AH27" s="70"/>
    </row>
    <row r="28" spans="1:34" ht="15.75" customHeight="1">
      <c r="A28" s="21">
        <v>24</v>
      </c>
      <c r="B28" s="24" t="str">
        <f>'Database Konstelation'!B28</f>
        <v>Sarki Sepriana</v>
      </c>
      <c r="C28" s="26" t="s">
        <v>232</v>
      </c>
      <c r="D28" s="26" t="s">
        <v>253</v>
      </c>
      <c r="E28" s="31" t="str">
        <f>'Database Konstelation'!C28</f>
        <v>asuransi kesehatan untuk guru</v>
      </c>
      <c r="F28" s="24"/>
      <c r="G28" s="24"/>
      <c r="H28" s="24"/>
      <c r="I28" s="33" t="s">
        <v>46</v>
      </c>
      <c r="J28" s="33"/>
      <c r="K28" s="33"/>
      <c r="L28" s="33"/>
      <c r="M28" s="33"/>
      <c r="N28" s="33"/>
      <c r="O28" s="33"/>
      <c r="P28" s="33"/>
      <c r="Q28" s="50" t="s">
        <v>50</v>
      </c>
      <c r="R28" s="50" t="s">
        <v>51</v>
      </c>
      <c r="S28" s="50" t="s">
        <v>52</v>
      </c>
      <c r="T28" s="50" t="s">
        <v>53</v>
      </c>
      <c r="U28" s="50" t="s">
        <v>54</v>
      </c>
      <c r="V28" s="50" t="s">
        <v>46</v>
      </c>
      <c r="W28" s="50"/>
      <c r="X28" s="54"/>
      <c r="Y28" s="54"/>
      <c r="Z28" s="50"/>
      <c r="AA28" s="50"/>
      <c r="AB28" s="50"/>
      <c r="AC28" s="50"/>
      <c r="AD28" s="56" t="str">
        <f t="shared" si="0"/>
        <v>Sarki Sepriana</v>
      </c>
      <c r="AE28" s="1"/>
      <c r="AF28" s="1"/>
      <c r="AG28" s="1"/>
      <c r="AH28" s="1"/>
    </row>
    <row r="29" spans="1:34" ht="15.75" customHeight="1">
      <c r="A29" s="21">
        <v>25</v>
      </c>
      <c r="B29" s="24" t="str">
        <f>'Database Konstelation'!B29</f>
        <v>Sevenna Mesyera</v>
      </c>
      <c r="C29" s="26" t="s">
        <v>257</v>
      </c>
      <c r="D29" s="26" t="s">
        <v>158</v>
      </c>
      <c r="E29" s="31" t="str">
        <f>'Database Konstelation'!C29</f>
        <v>buku anggota Osis</v>
      </c>
      <c r="F29" s="24"/>
      <c r="G29" s="24"/>
      <c r="H29" s="24"/>
      <c r="I29" s="33"/>
      <c r="J29" s="33"/>
      <c r="K29" s="33"/>
      <c r="L29" s="33"/>
      <c r="M29" s="33"/>
      <c r="N29" s="33"/>
      <c r="O29" s="33"/>
      <c r="P29" s="33"/>
      <c r="Q29" s="50" t="s">
        <v>50</v>
      </c>
      <c r="R29" s="50" t="s">
        <v>51</v>
      </c>
      <c r="S29" s="50" t="s">
        <v>52</v>
      </c>
      <c r="T29" s="50" t="s">
        <v>53</v>
      </c>
      <c r="U29" s="50" t="s">
        <v>54</v>
      </c>
      <c r="V29" s="50" t="s">
        <v>46</v>
      </c>
      <c r="W29" s="50"/>
      <c r="X29" s="54"/>
      <c r="Y29" s="54"/>
      <c r="Z29" s="50"/>
      <c r="AA29" s="50"/>
      <c r="AB29" s="50"/>
      <c r="AC29" s="50"/>
      <c r="AD29" s="56" t="str">
        <f t="shared" si="0"/>
        <v>Sevenna Mesyera</v>
      </c>
      <c r="AE29" s="1"/>
      <c r="AF29" s="1"/>
      <c r="AG29" s="1"/>
      <c r="AH29" s="1"/>
    </row>
    <row r="30" spans="1:34" ht="15.75" customHeight="1">
      <c r="A30" s="21">
        <v>26</v>
      </c>
      <c r="B30" s="24" t="str">
        <f>'Database Konstelation'!B30</f>
        <v>Shifa Rahmadani</v>
      </c>
      <c r="C30" s="26" t="s">
        <v>261</v>
      </c>
      <c r="D30" s="26" t="s">
        <v>262</v>
      </c>
      <c r="E30" s="31" t="str">
        <f>'Database Konstelation'!C30</f>
        <v>Pengajuan Perlengkapan Alat LAB</v>
      </c>
      <c r="F30" s="24"/>
      <c r="G30" s="24"/>
      <c r="H30" s="24"/>
      <c r="I30" s="33"/>
      <c r="J30" s="33"/>
      <c r="K30" s="33"/>
      <c r="L30" s="33"/>
      <c r="M30" s="33"/>
      <c r="N30" s="33"/>
      <c r="O30" s="33"/>
      <c r="P30" s="33"/>
      <c r="Q30" s="50" t="s">
        <v>50</v>
      </c>
      <c r="R30" s="50" t="s">
        <v>51</v>
      </c>
      <c r="S30" s="50" t="s">
        <v>52</v>
      </c>
      <c r="T30" s="50" t="s">
        <v>53</v>
      </c>
      <c r="U30" s="50" t="s">
        <v>54</v>
      </c>
      <c r="V30" s="50" t="s">
        <v>46</v>
      </c>
      <c r="W30" s="50"/>
      <c r="X30" s="54"/>
      <c r="Y30" s="54"/>
      <c r="Z30" s="50"/>
      <c r="AA30" s="50"/>
      <c r="AB30" s="50"/>
      <c r="AC30" s="50"/>
      <c r="AD30" s="56" t="str">
        <f t="shared" si="0"/>
        <v>Shifa Rahmadani</v>
      </c>
      <c r="AE30" s="1"/>
      <c r="AF30" s="1"/>
      <c r="AG30" s="1"/>
      <c r="AH30" s="1"/>
    </row>
    <row r="31" spans="1:34" ht="15.75" customHeight="1">
      <c r="A31" s="21">
        <v>27</v>
      </c>
      <c r="B31" s="24" t="str">
        <f>'Database Konstelation'!B31</f>
        <v>Tasya Aulia Putri</v>
      </c>
      <c r="C31" s="26" t="s">
        <v>266</v>
      </c>
      <c r="D31" s="26" t="s">
        <v>267</v>
      </c>
      <c r="E31" s="31" t="str">
        <f>'Database Konstelation'!C31</f>
        <v>izin keluar kelas</v>
      </c>
      <c r="F31" s="24"/>
      <c r="G31" s="24"/>
      <c r="H31" s="24"/>
      <c r="I31" s="33"/>
      <c r="J31" s="33"/>
      <c r="K31" s="33"/>
      <c r="L31" s="33"/>
      <c r="M31" s="33"/>
      <c r="N31" s="33"/>
      <c r="O31" s="33"/>
      <c r="P31" s="33"/>
      <c r="Q31" s="50" t="s">
        <v>50</v>
      </c>
      <c r="R31" s="50" t="s">
        <v>51</v>
      </c>
      <c r="S31" s="50" t="s">
        <v>52</v>
      </c>
      <c r="T31" s="50" t="s">
        <v>53</v>
      </c>
      <c r="U31" s="50" t="s">
        <v>54</v>
      </c>
      <c r="V31" s="50" t="s">
        <v>46</v>
      </c>
      <c r="W31" s="50"/>
      <c r="X31" s="54"/>
      <c r="Y31" s="54"/>
      <c r="Z31" s="50"/>
      <c r="AA31" s="50"/>
      <c r="AB31" s="50"/>
      <c r="AC31" s="50"/>
      <c r="AD31" s="56" t="str">
        <f t="shared" si="0"/>
        <v>Tasya Aulia Putri</v>
      </c>
      <c r="AE31" s="1"/>
      <c r="AF31" s="1"/>
      <c r="AG31" s="1"/>
      <c r="AH31" s="1"/>
    </row>
    <row r="32" spans="1:34" ht="15.75" customHeight="1">
      <c r="A32" s="21">
        <v>28</v>
      </c>
      <c r="B32" s="24" t="str">
        <f>'Database Konstelation'!B32</f>
        <v>Teuku Abdul Razaq</v>
      </c>
      <c r="C32" s="26" t="s">
        <v>261</v>
      </c>
      <c r="D32" s="26" t="s">
        <v>262</v>
      </c>
      <c r="E32" s="31" t="str">
        <f>'Database Konstelation'!C32</f>
        <v>peminjaman alat sarana</v>
      </c>
      <c r="F32" s="24"/>
      <c r="G32" s="24"/>
      <c r="H32" s="24"/>
      <c r="I32" s="33"/>
      <c r="J32" s="33"/>
      <c r="K32" s="33"/>
      <c r="L32" s="33"/>
      <c r="M32" s="33"/>
      <c r="N32" s="33"/>
      <c r="O32" s="33"/>
      <c r="P32" s="33"/>
      <c r="Q32" s="50" t="s">
        <v>50</v>
      </c>
      <c r="R32" s="50" t="s">
        <v>51</v>
      </c>
      <c r="S32" s="50" t="s">
        <v>52</v>
      </c>
      <c r="T32" s="50" t="s">
        <v>53</v>
      </c>
      <c r="U32" s="50" t="s">
        <v>54</v>
      </c>
      <c r="V32" s="50" t="s">
        <v>46</v>
      </c>
      <c r="W32" s="50"/>
      <c r="X32" s="54"/>
      <c r="Y32" s="54"/>
      <c r="Z32" s="50"/>
      <c r="AA32" s="50"/>
      <c r="AB32" s="50"/>
      <c r="AC32" s="50"/>
      <c r="AD32" s="56" t="str">
        <f t="shared" si="0"/>
        <v>Teuku Abdul Razaq</v>
      </c>
      <c r="AE32" s="1"/>
      <c r="AF32" s="1"/>
      <c r="AG32" s="1"/>
      <c r="AH32" s="1"/>
    </row>
    <row r="33" spans="1:34" ht="15.75" customHeight="1">
      <c r="A33" s="21">
        <v>29</v>
      </c>
      <c r="B33" s="24" t="str">
        <f>'Database Konstelation'!B33</f>
        <v>Wanda Afrilia</v>
      </c>
      <c r="C33" s="26"/>
      <c r="D33" s="26"/>
      <c r="E33" s="31" t="str">
        <f>'Database Konstelation'!C33</f>
        <v>pengaduan kerusakan fasilitas sklh</v>
      </c>
      <c r="F33" s="24"/>
      <c r="G33" s="24"/>
      <c r="H33" s="24"/>
      <c r="I33" s="33"/>
      <c r="J33" s="33"/>
      <c r="K33" s="33"/>
      <c r="L33" s="33"/>
      <c r="M33" s="33"/>
      <c r="N33" s="33"/>
      <c r="O33" s="33"/>
      <c r="P33" s="33"/>
      <c r="Q33" s="50" t="s">
        <v>50</v>
      </c>
      <c r="R33" s="50" t="s">
        <v>51</v>
      </c>
      <c r="S33" s="50" t="s">
        <v>52</v>
      </c>
      <c r="T33" s="50" t="s">
        <v>53</v>
      </c>
      <c r="U33" s="50" t="s">
        <v>54</v>
      </c>
      <c r="V33" s="50" t="s">
        <v>46</v>
      </c>
      <c r="W33" s="50"/>
      <c r="X33" s="54"/>
      <c r="Y33" s="54"/>
      <c r="Z33" s="50"/>
      <c r="AA33" s="50"/>
      <c r="AB33" s="50"/>
      <c r="AC33" s="50"/>
      <c r="AD33" s="56" t="str">
        <f t="shared" si="0"/>
        <v>Wanda Afrilia</v>
      </c>
      <c r="AE33" s="1"/>
      <c r="AF33" s="1"/>
      <c r="AG33" s="1"/>
      <c r="AH33" s="1"/>
    </row>
    <row r="34" spans="1:34" ht="15.75" customHeight="1">
      <c r="A34" s="21">
        <v>30</v>
      </c>
      <c r="B34" s="24" t="str">
        <f>'Database Konstelation'!B34</f>
        <v>Widya Ulfa</v>
      </c>
      <c r="C34" s="26"/>
      <c r="D34" s="26"/>
      <c r="E34" s="31" t="str">
        <f>'Database Konstelation'!C34</f>
        <v>manejemen prestasi siswa</v>
      </c>
      <c r="F34" s="24"/>
      <c r="G34" s="24"/>
      <c r="H34" s="24"/>
      <c r="I34" s="33"/>
      <c r="J34" s="33"/>
      <c r="K34" s="33"/>
      <c r="L34" s="33"/>
      <c r="M34" s="33"/>
      <c r="N34" s="33"/>
      <c r="O34" s="33"/>
      <c r="P34" s="33"/>
      <c r="Q34" s="50" t="s">
        <v>50</v>
      </c>
      <c r="R34" s="50" t="s">
        <v>51</v>
      </c>
      <c r="S34" s="50" t="s">
        <v>52</v>
      </c>
      <c r="T34" s="50" t="s">
        <v>53</v>
      </c>
      <c r="U34" s="50" t="s">
        <v>54</v>
      </c>
      <c r="V34" s="50" t="s">
        <v>46</v>
      </c>
      <c r="W34" s="50"/>
      <c r="X34" s="54"/>
      <c r="Y34" s="54"/>
      <c r="Z34" s="50"/>
      <c r="AA34" s="50"/>
      <c r="AB34" s="50"/>
      <c r="AC34" s="50"/>
      <c r="AD34" s="56" t="str">
        <f t="shared" si="0"/>
        <v>Widya Ulfa</v>
      </c>
      <c r="AE34" s="1"/>
      <c r="AF34" s="1"/>
      <c r="AG34" s="1"/>
      <c r="AH34" s="1"/>
    </row>
    <row r="35" spans="1:34" ht="15.75" customHeight="1">
      <c r="A35" s="21">
        <v>31</v>
      </c>
      <c r="B35" s="24" t="str">
        <f>'Database Konstelation'!B35</f>
        <v>Zahira Nursafa</v>
      </c>
      <c r="C35" s="26" t="s">
        <v>266</v>
      </c>
      <c r="D35" s="26" t="s">
        <v>271</v>
      </c>
      <c r="E35" s="31" t="str">
        <f>'Database Konstelation'!C35</f>
        <v>uang kas</v>
      </c>
      <c r="F35" s="24"/>
      <c r="G35" s="24"/>
      <c r="H35" s="24"/>
      <c r="I35" s="33"/>
      <c r="J35" s="33"/>
      <c r="K35" s="33"/>
      <c r="L35" s="33"/>
      <c r="M35" s="33"/>
      <c r="N35" s="33"/>
      <c r="O35" s="33"/>
      <c r="P35" s="33"/>
      <c r="Q35" s="50" t="s">
        <v>50</v>
      </c>
      <c r="R35" s="50" t="s">
        <v>51</v>
      </c>
      <c r="S35" s="50" t="s">
        <v>52</v>
      </c>
      <c r="T35" s="50" t="s">
        <v>53</v>
      </c>
      <c r="U35" s="50" t="s">
        <v>54</v>
      </c>
      <c r="V35" s="50" t="s">
        <v>46</v>
      </c>
      <c r="W35" s="50"/>
      <c r="X35" s="54"/>
      <c r="Y35" s="54"/>
      <c r="Z35" s="50"/>
      <c r="AA35" s="50"/>
      <c r="AB35" s="50"/>
      <c r="AC35" s="50"/>
      <c r="AD35" s="56" t="str">
        <f t="shared" si="0"/>
        <v>Zahira Nursafa</v>
      </c>
      <c r="AE35" s="1"/>
      <c r="AF35" s="1"/>
      <c r="AG35" s="1"/>
      <c r="AH35" s="1"/>
    </row>
    <row r="36" spans="1:34" ht="15.75" customHeight="1">
      <c r="A36" s="21">
        <v>32</v>
      </c>
      <c r="B36" s="24" t="str">
        <f>'Database Konstelation'!B36</f>
        <v>Zakwan Abdul Hady</v>
      </c>
      <c r="C36" s="26" t="s">
        <v>272</v>
      </c>
      <c r="D36" s="26"/>
      <c r="E36" s="31" t="str">
        <f>'Database Konstelation'!C36</f>
        <v>aplikasi kantin sekolah</v>
      </c>
      <c r="F36" s="24"/>
      <c r="G36" s="24"/>
      <c r="H36" s="24"/>
      <c r="I36" s="33"/>
      <c r="J36" s="33"/>
      <c r="K36" s="33"/>
      <c r="L36" s="33"/>
      <c r="M36" s="33"/>
      <c r="N36" s="33"/>
      <c r="O36" s="33"/>
      <c r="P36" s="33"/>
      <c r="Q36" s="50" t="s">
        <v>50</v>
      </c>
      <c r="R36" s="50" t="s">
        <v>51</v>
      </c>
      <c r="S36" s="50" t="s">
        <v>52</v>
      </c>
      <c r="T36" s="50" t="s">
        <v>53</v>
      </c>
      <c r="U36" s="50" t="s">
        <v>54</v>
      </c>
      <c r="V36" s="50" t="s">
        <v>46</v>
      </c>
      <c r="W36" s="50"/>
      <c r="X36" s="54"/>
      <c r="Y36" s="54"/>
      <c r="Z36" s="50"/>
      <c r="AA36" s="50"/>
      <c r="AB36" s="50"/>
      <c r="AC36" s="50"/>
      <c r="AD36" s="56" t="str">
        <f t="shared" si="0"/>
        <v>Zakwan Abdul Hady</v>
      </c>
      <c r="AE36" s="1"/>
      <c r="AF36" s="1"/>
      <c r="AG36" s="1"/>
      <c r="AH36" s="1"/>
    </row>
    <row r="37" spans="1:34" ht="15.75" customHeight="1">
      <c r="A37" s="21">
        <v>33</v>
      </c>
      <c r="B37" s="24" t="str">
        <f>'Database Konstelation'!B37</f>
        <v>Zsaskia Meiranda</v>
      </c>
      <c r="C37" s="26" t="s">
        <v>157</v>
      </c>
      <c r="D37" s="26" t="s">
        <v>158</v>
      </c>
      <c r="E37" s="31" t="str">
        <f>'Database Konstelation'!C37</f>
        <v>pendaftaran ekskul</v>
      </c>
      <c r="F37" s="24"/>
      <c r="G37" s="24"/>
      <c r="H37" s="24"/>
      <c r="I37" s="33"/>
      <c r="J37" s="33"/>
      <c r="K37" s="33"/>
      <c r="L37" s="33"/>
      <c r="M37" s="33"/>
      <c r="N37" s="33"/>
      <c r="O37" s="33"/>
      <c r="P37" s="33"/>
      <c r="Q37" s="50" t="s">
        <v>50</v>
      </c>
      <c r="R37" s="50" t="s">
        <v>51</v>
      </c>
      <c r="S37" s="50" t="s">
        <v>52</v>
      </c>
      <c r="T37" s="50" t="s">
        <v>53</v>
      </c>
      <c r="U37" s="50" t="s">
        <v>54</v>
      </c>
      <c r="V37" s="50" t="s">
        <v>46</v>
      </c>
      <c r="W37" s="50"/>
      <c r="X37" s="54"/>
      <c r="Y37" s="54"/>
      <c r="Z37" s="50"/>
      <c r="AA37" s="50"/>
      <c r="AB37" s="50"/>
      <c r="AC37" s="50"/>
      <c r="AD37" s="56" t="str">
        <f t="shared" si="0"/>
        <v>Zsaskia Meiranda</v>
      </c>
      <c r="AE37" s="1"/>
      <c r="AF37" s="1"/>
      <c r="AG37" s="1"/>
      <c r="AH37" s="1"/>
    </row>
    <row r="38" spans="1:34" ht="15.75" customHeight="1">
      <c r="A38" s="21">
        <v>34</v>
      </c>
      <c r="B38" s="24" t="str">
        <f>'Database Konstelation'!B38</f>
        <v>Zulaika Fatarani</v>
      </c>
      <c r="C38" s="26" t="s">
        <v>232</v>
      </c>
      <c r="D38" s="26"/>
      <c r="E38" s="31" t="s">
        <v>273</v>
      </c>
      <c r="F38" s="24"/>
      <c r="G38" s="24"/>
      <c r="H38" s="24"/>
      <c r="I38" s="33"/>
      <c r="J38" s="33"/>
      <c r="K38" s="33"/>
      <c r="L38" s="33"/>
      <c r="M38" s="33"/>
      <c r="N38" s="33"/>
      <c r="O38" s="33"/>
      <c r="P38" s="33"/>
      <c r="Q38" s="50" t="s">
        <v>50</v>
      </c>
      <c r="R38" s="50" t="s">
        <v>51</v>
      </c>
      <c r="S38" s="50" t="s">
        <v>52</v>
      </c>
      <c r="T38" s="50" t="s">
        <v>53</v>
      </c>
      <c r="U38" s="50" t="s">
        <v>54</v>
      </c>
      <c r="V38" s="50" t="s">
        <v>46</v>
      </c>
      <c r="W38" s="50"/>
      <c r="X38" s="54"/>
      <c r="Y38" s="54"/>
      <c r="Z38" s="50"/>
      <c r="AA38" s="50"/>
      <c r="AB38" s="50"/>
      <c r="AC38" s="50"/>
      <c r="AD38" s="56" t="str">
        <f t="shared" si="0"/>
        <v>Zulaika Fatarani</v>
      </c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84" t="s">
        <v>34</v>
      </c>
      <c r="C40" s="31" t="s">
        <v>274</v>
      </c>
      <c r="D40" s="31" t="s">
        <v>275</v>
      </c>
      <c r="E40" s="31" t="s">
        <v>276</v>
      </c>
      <c r="F40" s="31"/>
      <c r="G40" s="31"/>
      <c r="H40" s="31"/>
      <c r="I40" s="31" t="s">
        <v>277</v>
      </c>
      <c r="J40" s="84" t="s">
        <v>278</v>
      </c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20" t="s">
        <v>279</v>
      </c>
      <c r="C41" s="50" t="s">
        <v>280</v>
      </c>
      <c r="D41" s="50" t="s">
        <v>281</v>
      </c>
      <c r="E41" s="50" t="s">
        <v>282</v>
      </c>
      <c r="F41" s="50"/>
      <c r="G41" s="50"/>
      <c r="H41" s="50"/>
      <c r="I41" s="20" t="s">
        <v>283</v>
      </c>
      <c r="J41" s="20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20" t="s">
        <v>284</v>
      </c>
      <c r="C42" s="50" t="s">
        <v>285</v>
      </c>
      <c r="D42" s="50" t="s">
        <v>286</v>
      </c>
      <c r="E42" s="50" t="s">
        <v>282</v>
      </c>
      <c r="F42" s="50"/>
      <c r="G42" s="50"/>
      <c r="H42" s="50"/>
      <c r="I42" s="20" t="s">
        <v>283</v>
      </c>
      <c r="J42" s="20"/>
      <c r="K42" s="3"/>
      <c r="L42" s="3"/>
      <c r="M42" s="3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20" t="s">
        <v>287</v>
      </c>
      <c r="C43" s="50" t="s">
        <v>285</v>
      </c>
      <c r="D43" s="50" t="s">
        <v>286</v>
      </c>
      <c r="E43" s="50"/>
      <c r="F43" s="50"/>
      <c r="G43" s="50"/>
      <c r="H43" s="50"/>
      <c r="I43" s="20"/>
      <c r="J43" s="20"/>
      <c r="K43" s="3"/>
      <c r="L43" s="3"/>
      <c r="M43" s="3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20" t="s">
        <v>58</v>
      </c>
      <c r="C44" s="50" t="s">
        <v>285</v>
      </c>
      <c r="D44" s="50" t="s">
        <v>286</v>
      </c>
      <c r="E44" s="50"/>
      <c r="F44" s="50"/>
      <c r="G44" s="50"/>
      <c r="H44" s="50"/>
      <c r="I44" s="20"/>
      <c r="J44" s="20"/>
      <c r="K44" s="3"/>
      <c r="L44" s="3"/>
      <c r="M44" s="3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20" t="s">
        <v>288</v>
      </c>
      <c r="C45" s="50" t="s">
        <v>285</v>
      </c>
      <c r="D45" s="50" t="s">
        <v>280</v>
      </c>
      <c r="E45" s="50" t="s">
        <v>289</v>
      </c>
      <c r="F45" s="50"/>
      <c r="G45" s="50"/>
      <c r="H45" s="50"/>
      <c r="I45" s="20"/>
      <c r="J45" s="20"/>
      <c r="K45" s="3"/>
      <c r="L45" s="3"/>
      <c r="M45" s="3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20" t="s">
        <v>278</v>
      </c>
      <c r="C46" s="50"/>
      <c r="D46" s="50"/>
      <c r="E46" s="50"/>
      <c r="F46" s="50"/>
      <c r="G46" s="50"/>
      <c r="H46" s="50"/>
      <c r="I46" s="20"/>
      <c r="J46" s="20"/>
      <c r="K46" s="3"/>
      <c r="L46" s="3"/>
      <c r="M46" s="3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20" t="s">
        <v>278</v>
      </c>
      <c r="C47" s="50"/>
      <c r="D47" s="50"/>
      <c r="E47" s="50"/>
      <c r="F47" s="50"/>
      <c r="G47" s="50"/>
      <c r="H47" s="50"/>
      <c r="I47" s="20"/>
      <c r="J47" s="20"/>
      <c r="K47" s="3"/>
      <c r="L47" s="3"/>
      <c r="M47" s="3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31" t="s">
        <v>5</v>
      </c>
      <c r="B49" s="31" t="s">
        <v>290</v>
      </c>
      <c r="C49" s="31" t="s">
        <v>291</v>
      </c>
      <c r="D49" s="1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50">
        <v>1</v>
      </c>
      <c r="B50" s="50" t="s">
        <v>292</v>
      </c>
      <c r="C50" s="50" t="s">
        <v>293</v>
      </c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50">
        <v>2</v>
      </c>
      <c r="B51" s="50" t="s">
        <v>294</v>
      </c>
      <c r="C51" s="50" t="s">
        <v>295</v>
      </c>
      <c r="D51" s="1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50">
        <v>3</v>
      </c>
      <c r="B52" s="50" t="s">
        <v>296</v>
      </c>
      <c r="C52" s="50" t="s">
        <v>295</v>
      </c>
      <c r="D52" s="1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50">
        <v>4</v>
      </c>
      <c r="B53" s="50" t="s">
        <v>297</v>
      </c>
      <c r="C53" s="50" t="s">
        <v>293</v>
      </c>
      <c r="D53" s="1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50">
        <v>5</v>
      </c>
      <c r="B54" s="50" t="s">
        <v>298</v>
      </c>
      <c r="C54" s="50" t="s">
        <v>299</v>
      </c>
      <c r="D54" s="1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50">
        <v>6</v>
      </c>
      <c r="B55" s="50" t="s">
        <v>300</v>
      </c>
      <c r="C55" s="50" t="s">
        <v>301</v>
      </c>
      <c r="D55" s="1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50">
        <v>7</v>
      </c>
      <c r="B56" s="50"/>
      <c r="C56" s="50"/>
      <c r="D56" s="1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3"/>
      <c r="J1001" s="3"/>
      <c r="K1001" s="3"/>
      <c r="L1001" s="3"/>
      <c r="M1001" s="3"/>
      <c r="N1001" s="3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3"/>
      <c r="J1002" s="3"/>
      <c r="K1002" s="3"/>
      <c r="L1002" s="3"/>
      <c r="M1002" s="3"/>
      <c r="N1002" s="3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3"/>
      <c r="J1003" s="3"/>
      <c r="K1003" s="3"/>
      <c r="L1003" s="3"/>
      <c r="M1003" s="3"/>
      <c r="N1003" s="3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3"/>
      <c r="J1004" s="3"/>
      <c r="K1004" s="3"/>
      <c r="L1004" s="3"/>
      <c r="M1004" s="3"/>
      <c r="N1004" s="3"/>
      <c r="O1004" s="3"/>
      <c r="P1004" s="3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3"/>
      <c r="J1005" s="3"/>
      <c r="K1005" s="3"/>
      <c r="L1005" s="3"/>
      <c r="M1005" s="3"/>
      <c r="N1005" s="3"/>
      <c r="O1005" s="3"/>
      <c r="P1005" s="3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3"/>
      <c r="J1006" s="3"/>
      <c r="K1006" s="3"/>
      <c r="L1006" s="3"/>
      <c r="M1006" s="3"/>
      <c r="N1006" s="3"/>
      <c r="O1006" s="3"/>
      <c r="P1006" s="3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3"/>
      <c r="J1007" s="3"/>
      <c r="K1007" s="3"/>
      <c r="L1007" s="3"/>
      <c r="M1007" s="3"/>
      <c r="N1007" s="3"/>
      <c r="O1007" s="3"/>
      <c r="P1007" s="3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3"/>
      <c r="J1008" s="3"/>
      <c r="K1008" s="3"/>
      <c r="L1008" s="3"/>
      <c r="M1008" s="3"/>
      <c r="N1008" s="3"/>
      <c r="O1008" s="3"/>
      <c r="P1008" s="3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3"/>
      <c r="J1009" s="3"/>
      <c r="K1009" s="3"/>
      <c r="L1009" s="3"/>
      <c r="M1009" s="3"/>
      <c r="N1009" s="3"/>
      <c r="O1009" s="3"/>
      <c r="P1009" s="3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3"/>
      <c r="J1010" s="3"/>
      <c r="K1010" s="3"/>
      <c r="L1010" s="3"/>
      <c r="M1010" s="3"/>
      <c r="N1010" s="3"/>
      <c r="O1010" s="3"/>
      <c r="P1010" s="3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opLeftCell="A9" zoomScale="105" zoomScaleNormal="70" workbookViewId="0">
      <selection activeCell="J26" sqref="J26"/>
    </sheetView>
  </sheetViews>
  <sheetFormatPr defaultColWidth="14.453125" defaultRowHeight="15" customHeight="1"/>
  <cols>
    <col min="1" max="1" width="9.08984375" customWidth="1"/>
    <col min="2" max="2" width="16.81640625" customWidth="1"/>
    <col min="3" max="3" width="16.26953125" customWidth="1"/>
    <col min="4" max="4" width="14.26953125" customWidth="1"/>
    <col min="5" max="5" width="13.453125" customWidth="1"/>
    <col min="6" max="6" width="16.6328125" bestFit="1" customWidth="1"/>
    <col min="7" max="7" width="14.453125" customWidth="1"/>
    <col min="8" max="8" width="16.453125" customWidth="1"/>
    <col min="9" max="9" width="13.08984375" customWidth="1"/>
    <col min="10" max="10" width="12.6328125" customWidth="1"/>
    <col min="11" max="14" width="11.26953125" customWidth="1"/>
    <col min="15" max="26" width="8.7265625" customWidth="1"/>
  </cols>
  <sheetData>
    <row r="1" spans="1:26" ht="18.5">
      <c r="A1" s="110" t="s">
        <v>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5">
      <c r="A3" s="6" t="s">
        <v>7</v>
      </c>
      <c r="B3" s="7"/>
      <c r="C3" s="6" t="s">
        <v>357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5">
      <c r="A4" s="6" t="s">
        <v>12</v>
      </c>
      <c r="B4" s="7"/>
      <c r="C4" s="95" t="s">
        <v>383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5">
      <c r="A5" s="6" t="s">
        <v>18</v>
      </c>
      <c r="B5" s="7"/>
      <c r="C5" s="6" t="s">
        <v>19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5">
      <c r="A6" s="6" t="s">
        <v>22</v>
      </c>
      <c r="B6" s="7"/>
      <c r="C6" s="6" t="s">
        <v>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5">
      <c r="A7" s="6" t="s">
        <v>28</v>
      </c>
      <c r="B7" s="7"/>
      <c r="C7" s="6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5">
      <c r="A9" s="111" t="s">
        <v>5</v>
      </c>
      <c r="B9" s="111" t="s">
        <v>37</v>
      </c>
      <c r="C9" s="113" t="s">
        <v>41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8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112"/>
      <c r="B10" s="112"/>
      <c r="C10" s="36">
        <v>1</v>
      </c>
      <c r="D10" s="36">
        <v>2</v>
      </c>
      <c r="E10" s="36">
        <v>3</v>
      </c>
      <c r="F10" s="36">
        <v>4</v>
      </c>
      <c r="G10" s="36">
        <v>5</v>
      </c>
      <c r="H10" s="36">
        <v>6</v>
      </c>
      <c r="I10" s="36">
        <v>7</v>
      </c>
      <c r="J10" s="36">
        <v>8</v>
      </c>
      <c r="K10" s="36">
        <v>9</v>
      </c>
      <c r="L10" s="36">
        <v>10</v>
      </c>
      <c r="M10" s="36">
        <v>11</v>
      </c>
      <c r="N10" s="36">
        <v>12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41">
        <v>1</v>
      </c>
      <c r="B11" s="88" t="s">
        <v>46</v>
      </c>
      <c r="C11" s="45" t="s">
        <v>358</v>
      </c>
      <c r="D11" s="45" t="s">
        <v>360</v>
      </c>
      <c r="E11" s="45" t="s">
        <v>282</v>
      </c>
      <c r="F11" s="45" t="s">
        <v>359</v>
      </c>
      <c r="G11" s="92" t="s">
        <v>372</v>
      </c>
      <c r="H11" s="45" t="s">
        <v>324</v>
      </c>
      <c r="I11" s="45" t="s">
        <v>283</v>
      </c>
      <c r="J11" s="45" t="s">
        <v>320</v>
      </c>
      <c r="K11" s="45"/>
      <c r="L11" s="45"/>
      <c r="M11" s="45"/>
      <c r="N11" s="4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46"/>
      <c r="B12" s="48" t="s">
        <v>69</v>
      </c>
      <c r="C12" s="90" t="s">
        <v>361</v>
      </c>
      <c r="D12" s="51"/>
      <c r="E12" s="51"/>
      <c r="F12" s="51"/>
      <c r="G12" s="94" t="s">
        <v>380</v>
      </c>
      <c r="H12" s="51"/>
      <c r="I12" s="51"/>
      <c r="J12" s="51"/>
      <c r="K12" s="51"/>
      <c r="L12" s="51"/>
      <c r="M12" s="51"/>
      <c r="N12" s="51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41">
        <v>2</v>
      </c>
      <c r="B13" s="88" t="s">
        <v>341</v>
      </c>
      <c r="C13" s="45" t="s">
        <v>341</v>
      </c>
      <c r="D13" s="45" t="s">
        <v>334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46"/>
      <c r="B14" s="48" t="s">
        <v>69</v>
      </c>
      <c r="C14" s="90" t="s">
        <v>361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41">
        <v>3</v>
      </c>
      <c r="B15" s="88" t="s">
        <v>376</v>
      </c>
      <c r="C15" s="89" t="s">
        <v>378</v>
      </c>
      <c r="D15" s="89" t="s">
        <v>379</v>
      </c>
      <c r="E15" s="45" t="s">
        <v>365</v>
      </c>
      <c r="F15" s="45" t="s">
        <v>100</v>
      </c>
      <c r="G15" s="45" t="s">
        <v>366</v>
      </c>
      <c r="H15" s="45"/>
      <c r="I15" s="45"/>
      <c r="J15" s="45"/>
      <c r="K15" s="45"/>
      <c r="L15" s="45"/>
      <c r="M15" s="45"/>
      <c r="N15" s="4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46"/>
      <c r="B16" s="93" t="s">
        <v>69</v>
      </c>
      <c r="C16" s="90" t="s">
        <v>361</v>
      </c>
      <c r="D16" s="51" t="s">
        <v>362</v>
      </c>
      <c r="E16" s="90"/>
      <c r="F16" s="51"/>
      <c r="G16" s="90" t="s">
        <v>385</v>
      </c>
      <c r="H16" s="51"/>
      <c r="I16" s="51"/>
      <c r="J16" s="51"/>
      <c r="K16" s="51"/>
      <c r="L16" s="51"/>
      <c r="M16" s="51"/>
      <c r="N16" s="5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41">
        <v>4</v>
      </c>
      <c r="B17" s="91" t="s">
        <v>108</v>
      </c>
      <c r="C17" s="89" t="s">
        <v>377</v>
      </c>
      <c r="D17" s="89" t="s">
        <v>381</v>
      </c>
      <c r="E17" s="45" t="s">
        <v>382</v>
      </c>
      <c r="F17" s="45" t="s">
        <v>366</v>
      </c>
      <c r="G17" s="45"/>
      <c r="H17" s="45"/>
      <c r="I17" s="45"/>
      <c r="J17" s="45"/>
      <c r="K17" s="45"/>
      <c r="L17" s="45"/>
      <c r="M17" s="45"/>
      <c r="N17" s="45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6"/>
      <c r="B18" s="93" t="s">
        <v>69</v>
      </c>
      <c r="C18" s="90" t="s">
        <v>361</v>
      </c>
      <c r="D18" s="51"/>
      <c r="E18" s="51"/>
      <c r="F18" s="90" t="s">
        <v>385</v>
      </c>
      <c r="G18" s="51"/>
      <c r="H18" s="51"/>
      <c r="I18" s="51"/>
      <c r="J18" s="51"/>
      <c r="K18" s="51"/>
      <c r="L18" s="51"/>
      <c r="M18" s="51"/>
      <c r="N18" s="5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1">
        <v>5</v>
      </c>
      <c r="B19" s="91" t="s">
        <v>168</v>
      </c>
      <c r="C19" s="45" t="s">
        <v>363</v>
      </c>
      <c r="D19" s="89" t="s">
        <v>341</v>
      </c>
      <c r="E19" s="45" t="s">
        <v>367</v>
      </c>
      <c r="F19" s="45" t="s">
        <v>371</v>
      </c>
      <c r="G19" s="45" t="s">
        <v>368</v>
      </c>
      <c r="H19" s="45" t="s">
        <v>369</v>
      </c>
      <c r="I19" s="45" t="s">
        <v>320</v>
      </c>
      <c r="J19" s="89"/>
      <c r="K19" s="45"/>
      <c r="L19" s="45"/>
      <c r="M19" s="45"/>
      <c r="N19" s="45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6"/>
      <c r="B20" s="93" t="s">
        <v>69</v>
      </c>
      <c r="C20" s="90" t="s">
        <v>361</v>
      </c>
      <c r="D20" s="51" t="s">
        <v>362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1">
        <v>6</v>
      </c>
      <c r="B21" s="91" t="s">
        <v>170</v>
      </c>
      <c r="C21" s="45" t="s">
        <v>364</v>
      </c>
      <c r="D21" s="89" t="s">
        <v>358</v>
      </c>
      <c r="E21" s="89" t="s">
        <v>378</v>
      </c>
      <c r="F21" s="89" t="s">
        <v>377</v>
      </c>
      <c r="G21" s="89" t="s">
        <v>363</v>
      </c>
      <c r="H21" s="45" t="s">
        <v>370</v>
      </c>
      <c r="I21" s="89"/>
      <c r="J21" s="45"/>
      <c r="K21" s="45"/>
      <c r="L21" s="45"/>
      <c r="M21" s="45"/>
      <c r="N21" s="45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6"/>
      <c r="B22" s="48" t="s">
        <v>69</v>
      </c>
      <c r="C22" s="90" t="s">
        <v>361</v>
      </c>
      <c r="D22" s="51" t="s">
        <v>362</v>
      </c>
      <c r="E22" s="51" t="s">
        <v>362</v>
      </c>
      <c r="F22" s="51"/>
      <c r="G22" s="51"/>
      <c r="H22" s="51"/>
      <c r="I22" s="51"/>
      <c r="J22" s="51"/>
      <c r="K22" s="51"/>
      <c r="L22" s="51"/>
      <c r="M22" s="51"/>
      <c r="N22" s="51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1">
        <v>7</v>
      </c>
      <c r="B23" s="91" t="s">
        <v>374</v>
      </c>
      <c r="C23" s="89" t="s">
        <v>375</v>
      </c>
      <c r="D23" s="45" t="s">
        <v>364</v>
      </c>
      <c r="E23" s="89"/>
      <c r="F23" s="45"/>
      <c r="G23" s="45"/>
      <c r="H23" s="45"/>
      <c r="I23" s="45"/>
      <c r="J23" s="45"/>
      <c r="K23" s="45"/>
      <c r="L23" s="45"/>
      <c r="M23" s="45"/>
      <c r="N23" s="45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46"/>
      <c r="B24" s="48" t="s">
        <v>69</v>
      </c>
      <c r="C24" s="90" t="s">
        <v>361</v>
      </c>
      <c r="D24" s="90" t="s">
        <v>362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41">
        <v>8</v>
      </c>
      <c r="B25" s="43"/>
      <c r="C25" s="45"/>
      <c r="D25" s="89"/>
      <c r="E25" s="89"/>
      <c r="F25" s="89"/>
      <c r="G25" s="45"/>
      <c r="H25" s="45"/>
      <c r="I25" s="45"/>
      <c r="J25" s="45"/>
      <c r="K25" s="45"/>
      <c r="L25" s="45"/>
      <c r="M25" s="45"/>
      <c r="N25" s="45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46"/>
      <c r="B26" s="48"/>
      <c r="C26" s="90"/>
      <c r="D26" s="90"/>
      <c r="E26" s="90"/>
      <c r="F26" s="51"/>
      <c r="G26" s="51"/>
      <c r="H26" s="51"/>
      <c r="I26" s="51"/>
      <c r="J26" s="51"/>
      <c r="K26" s="51"/>
      <c r="L26" s="51"/>
      <c r="M26" s="51"/>
      <c r="N26" s="51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41">
        <v>9</v>
      </c>
      <c r="B27" s="63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64">
        <v>10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64">
        <v>11</v>
      </c>
      <c r="B31" s="65"/>
      <c r="C31" s="65"/>
      <c r="D31" s="65"/>
      <c r="E31" s="65" t="s">
        <v>373</v>
      </c>
      <c r="F31" s="65"/>
      <c r="G31" s="65"/>
      <c r="H31" s="65"/>
      <c r="I31" s="65"/>
      <c r="J31" s="65"/>
      <c r="K31" s="65"/>
      <c r="L31" s="65"/>
      <c r="M31" s="65"/>
      <c r="N31" s="65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66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6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66"/>
      <c r="B34" s="32"/>
      <c r="C34" s="32"/>
      <c r="D34" s="32"/>
      <c r="E34" s="32"/>
      <c r="F34" s="69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66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66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66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66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66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66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66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66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66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66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66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66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66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66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66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66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66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66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66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66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66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66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66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66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66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66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66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66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66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66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66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66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66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66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66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66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66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66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66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66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66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66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66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66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66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66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66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66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66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66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66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66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66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66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66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66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66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66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66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66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66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66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66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66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66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66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66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66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66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66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66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66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66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66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66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66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66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66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66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66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66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66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66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66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66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66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66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66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66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66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66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66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66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66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66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66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66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66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66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66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66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66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66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66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66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66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66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66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66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66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66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66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66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66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66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66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66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66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66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66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66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66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66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66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66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66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66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66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66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66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66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66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66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66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66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66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66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66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66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66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66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66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66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66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66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66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66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66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66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66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66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66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66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66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66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66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66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66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66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66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66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66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66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66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66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66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66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66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66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66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66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66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66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66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66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66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66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66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66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66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66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66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66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66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66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66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66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66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66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66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66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66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66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66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66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66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66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66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66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66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66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66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66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66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66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66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66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66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66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66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66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66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66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66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66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66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66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66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66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66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66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66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66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66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66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66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66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66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66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66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66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66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66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66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66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66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66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66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66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66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66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66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66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66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66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66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66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66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66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66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66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66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66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66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66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66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66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66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66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66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66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66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66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66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66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66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66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66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66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66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66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66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66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66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66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66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66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66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66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66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66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66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66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66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66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66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66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66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66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66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66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66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66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66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66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66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66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66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66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66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66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66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66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66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66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66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66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66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66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66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66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66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66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66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66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66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66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66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66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66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66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66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66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66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66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66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66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66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66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66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66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66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66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66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66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66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66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66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66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66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66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66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66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66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66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66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66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66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66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66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66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66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66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66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66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66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66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66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66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66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66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66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66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66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66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66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66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66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66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66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66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66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66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66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66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66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66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66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66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66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66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66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66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66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66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66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66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66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66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66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66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66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66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66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66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66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66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66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66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66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66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66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66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66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66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66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66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66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66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66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66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66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66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66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66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66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66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66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66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66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66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66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66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66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66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66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66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66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66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66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66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66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66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66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66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66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66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66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66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66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66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66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66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66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66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66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66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66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66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66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66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66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66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66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66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66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66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66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66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66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66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66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66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66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66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66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66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66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66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66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66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66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66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66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66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66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66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66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66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66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66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66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66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66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66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66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66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66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66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66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66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66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66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66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66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66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66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66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66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66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66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66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66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66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66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66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66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66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66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66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66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66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66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66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66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66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66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66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66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66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66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66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66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66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66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66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66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66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66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66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66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66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66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66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66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66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66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66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66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66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66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66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66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66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66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66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66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66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66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66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66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66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66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66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66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66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66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66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66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66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66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66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66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66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66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66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66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66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66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66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66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66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66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66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66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66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66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66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66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66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66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66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66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66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66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66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66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66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66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66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66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66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66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66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66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66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66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66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66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66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66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66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66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66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66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66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66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66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66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66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66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66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66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66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66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66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66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66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66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66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66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66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66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66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66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66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66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66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66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66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66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66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66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66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66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66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66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66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66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66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66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66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66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66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66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66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66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66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66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66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66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66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66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66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66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66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66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66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66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66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66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66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66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66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66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66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66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66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66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66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66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66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66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66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66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66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66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66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66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66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66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66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66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66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66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66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66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66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66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66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66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66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66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66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66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66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66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66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66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66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66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66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66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66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66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66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66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66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66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66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66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66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66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66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66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66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66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66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66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66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66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66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66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66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66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66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66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66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66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66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66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66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66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66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66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66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66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66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66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66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66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66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66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66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66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66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66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66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66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66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66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66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66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66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66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66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66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66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66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66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66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66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66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66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66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66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66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66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66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66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66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66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66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66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66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66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66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66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66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66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66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66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66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66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66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66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66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66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66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66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66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66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66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66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66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66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66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66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66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66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66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66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66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66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66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66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66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66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66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66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66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66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66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66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66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66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66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66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66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66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66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66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66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66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66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66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66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66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66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66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66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66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66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66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66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66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66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66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66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66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66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66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66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66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66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66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66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66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66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66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66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66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66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66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66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66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66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66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66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66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66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66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66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66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66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66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66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66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66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66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66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66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66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66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66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66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66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66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66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66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66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66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66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66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66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66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66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66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66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66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66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66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66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66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66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66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66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66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66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66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66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66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66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66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66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66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66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66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66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66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66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66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66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66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66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66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66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66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66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66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66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66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66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66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66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66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66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66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66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66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66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66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66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66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66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66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66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66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66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66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66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66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66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66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66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66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66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66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66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66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66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66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66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66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66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66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66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66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66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66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66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66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66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66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66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66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ht="15.75" customHeight="1">
      <c r="A1001" s="66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5.75" customHeight="1">
      <c r="A1002" s="66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ht="15.75" customHeight="1">
      <c r="A1003" s="66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ht="15.75" customHeight="1">
      <c r="A1004" s="66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ht="15.75" customHeight="1">
      <c r="A1005" s="66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ht="15.75" customHeight="1">
      <c r="A1006" s="66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ht="15.75" customHeight="1">
      <c r="A1007" s="66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ht="15.75" customHeight="1">
      <c r="A1008" s="66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8"/>
  <sheetViews>
    <sheetView tabSelected="1" zoomScale="81" zoomScaleNormal="55" workbookViewId="0">
      <selection activeCell="H11" sqref="H11"/>
    </sheetView>
  </sheetViews>
  <sheetFormatPr defaultColWidth="14.453125" defaultRowHeight="15" customHeight="1"/>
  <cols>
    <col min="1" max="1" width="8.81640625" customWidth="1"/>
    <col min="2" max="2" width="21.7265625" customWidth="1"/>
    <col min="3" max="3" width="19.08984375" customWidth="1"/>
    <col min="4" max="4" width="37.81640625" customWidth="1"/>
    <col min="5" max="8" width="10.26953125" customWidth="1"/>
    <col min="9" max="9" width="14.90625" customWidth="1"/>
    <col min="10" max="25" width="8.7265625" customWidth="1"/>
  </cols>
  <sheetData>
    <row r="1" spans="1:25" ht="14.5">
      <c r="A1" s="116" t="s">
        <v>0</v>
      </c>
      <c r="B1" s="104"/>
      <c r="C1" s="104"/>
      <c r="D1" s="104"/>
      <c r="E1" s="104"/>
      <c r="F1" s="104"/>
      <c r="G1" s="104"/>
      <c r="H1" s="10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5">
      <c r="A2" s="6"/>
      <c r="B2" s="7"/>
      <c r="C2" s="6"/>
      <c r="D2" s="2"/>
      <c r="E2" s="11"/>
      <c r="F2" s="11"/>
      <c r="G2" s="11"/>
      <c r="H2" s="11"/>
      <c r="I2" s="1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5">
      <c r="A3" s="6" t="s">
        <v>7</v>
      </c>
      <c r="B3" s="7"/>
      <c r="C3" s="6" t="s">
        <v>357</v>
      </c>
      <c r="D3" s="2"/>
      <c r="E3" s="11"/>
      <c r="F3" s="11"/>
      <c r="G3" s="11"/>
      <c r="H3" s="11"/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5">
      <c r="A4" s="6" t="s">
        <v>12</v>
      </c>
      <c r="B4" s="7"/>
      <c r="C4" s="6" t="s">
        <v>389</v>
      </c>
      <c r="D4" s="2"/>
      <c r="E4" s="11"/>
      <c r="F4" s="11"/>
      <c r="G4" s="11"/>
      <c r="H4" s="11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5">
      <c r="A5" s="6" t="s">
        <v>18</v>
      </c>
      <c r="B5" s="7"/>
      <c r="C5" s="6" t="s">
        <v>19</v>
      </c>
      <c r="D5" s="2"/>
      <c r="E5" s="11"/>
      <c r="F5" s="11"/>
      <c r="G5" s="11"/>
      <c r="H5" s="11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5">
      <c r="A6" s="6" t="s">
        <v>22</v>
      </c>
      <c r="B6" s="7"/>
      <c r="C6" s="6" t="s">
        <v>24</v>
      </c>
      <c r="D6" s="2"/>
      <c r="E6" s="11"/>
      <c r="F6" s="11"/>
      <c r="G6" s="11"/>
      <c r="H6" s="11"/>
      <c r="I6" s="1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5">
      <c r="A7" s="6" t="s">
        <v>28</v>
      </c>
      <c r="B7" s="7"/>
      <c r="C7" s="6" t="s">
        <v>29</v>
      </c>
      <c r="D7" s="2"/>
      <c r="E7" s="11"/>
      <c r="F7" s="11"/>
      <c r="G7" s="11"/>
      <c r="H7" s="11"/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5">
      <c r="A8" s="6"/>
      <c r="B8" s="7"/>
      <c r="C8" s="6"/>
      <c r="D8" s="2"/>
      <c r="E8" s="11"/>
      <c r="F8" s="11"/>
      <c r="G8" s="11"/>
      <c r="H8" s="11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4.5">
      <c r="A9" s="117" t="s">
        <v>5</v>
      </c>
      <c r="B9" s="117" t="s">
        <v>34</v>
      </c>
      <c r="C9" s="117" t="s">
        <v>35</v>
      </c>
      <c r="D9" s="117" t="s">
        <v>36</v>
      </c>
      <c r="E9" s="118" t="s">
        <v>387</v>
      </c>
      <c r="F9" s="107"/>
      <c r="G9" s="108"/>
      <c r="H9" s="97"/>
      <c r="I9" s="114" t="s">
        <v>388</v>
      </c>
    </row>
    <row r="10" spans="1:25" ht="15.75" customHeight="1">
      <c r="A10" s="112"/>
      <c r="B10" s="112"/>
      <c r="C10" s="112"/>
      <c r="D10" s="112"/>
      <c r="E10" s="34" t="s">
        <v>47</v>
      </c>
      <c r="F10" s="34" t="s">
        <v>48</v>
      </c>
      <c r="G10" s="96" t="s">
        <v>384</v>
      </c>
      <c r="H10" s="96" t="s">
        <v>386</v>
      </c>
      <c r="I10" s="115"/>
    </row>
    <row r="11" spans="1:25" ht="15.75" customHeight="1">
      <c r="A11" s="38">
        <v>1</v>
      </c>
      <c r="B11" s="29" t="s">
        <v>390</v>
      </c>
      <c r="C11" s="29"/>
      <c r="D11" s="29" t="s">
        <v>401</v>
      </c>
      <c r="E11" s="101" t="s">
        <v>405</v>
      </c>
      <c r="F11" s="101" t="s">
        <v>405</v>
      </c>
      <c r="G11" s="101" t="s">
        <v>405</v>
      </c>
      <c r="H11" s="101"/>
      <c r="I11" s="101" t="s">
        <v>406</v>
      </c>
    </row>
    <row r="12" spans="1:25" ht="15.75" customHeight="1">
      <c r="A12" s="38">
        <v>2</v>
      </c>
      <c r="B12" s="29" t="s">
        <v>391</v>
      </c>
      <c r="C12" s="29" t="s">
        <v>46</v>
      </c>
      <c r="D12" s="29"/>
      <c r="E12" s="101" t="s">
        <v>405</v>
      </c>
      <c r="F12" s="101" t="s">
        <v>405</v>
      </c>
      <c r="G12" s="101"/>
      <c r="H12" s="101"/>
      <c r="I12" s="101" t="s">
        <v>406</v>
      </c>
    </row>
    <row r="13" spans="1:25" ht="15.75" customHeight="1">
      <c r="A13" s="38">
        <v>3</v>
      </c>
      <c r="B13" s="29" t="s">
        <v>392</v>
      </c>
      <c r="C13" s="29" t="s">
        <v>400</v>
      </c>
      <c r="D13" s="29" t="s">
        <v>404</v>
      </c>
      <c r="E13" s="101"/>
      <c r="F13" s="101"/>
      <c r="G13" s="101" t="s">
        <v>405</v>
      </c>
      <c r="H13" s="101"/>
      <c r="I13" s="101" t="s">
        <v>406</v>
      </c>
    </row>
    <row r="14" spans="1:25" ht="15.75" customHeight="1">
      <c r="A14" s="38">
        <v>4</v>
      </c>
      <c r="B14" s="29" t="s">
        <v>393</v>
      </c>
      <c r="C14" s="29" t="s">
        <v>46</v>
      </c>
      <c r="D14" s="98" t="s">
        <v>68</v>
      </c>
      <c r="E14" s="101" t="s">
        <v>405</v>
      </c>
      <c r="F14" s="101" t="s">
        <v>405</v>
      </c>
      <c r="G14" s="101"/>
      <c r="H14" s="101"/>
      <c r="I14" s="101" t="s">
        <v>406</v>
      </c>
    </row>
    <row r="15" spans="1:25" ht="15.75" customHeight="1">
      <c r="A15" s="38">
        <v>5</v>
      </c>
      <c r="B15" s="29" t="s">
        <v>394</v>
      </c>
      <c r="C15" s="29" t="s">
        <v>400</v>
      </c>
      <c r="D15" s="98" t="s">
        <v>68</v>
      </c>
      <c r="E15" s="101"/>
      <c r="F15" s="101"/>
      <c r="G15" s="101" t="s">
        <v>405</v>
      </c>
      <c r="H15" s="101"/>
      <c r="I15" s="101" t="s">
        <v>406</v>
      </c>
    </row>
    <row r="16" spans="1:25" ht="15.75" customHeight="1">
      <c r="A16" s="38">
        <v>6</v>
      </c>
      <c r="B16" s="47" t="s">
        <v>395</v>
      </c>
      <c r="C16" s="49" t="s">
        <v>46</v>
      </c>
      <c r="D16" s="49"/>
      <c r="E16" s="101" t="s">
        <v>405</v>
      </c>
      <c r="F16" s="102" t="s">
        <v>405</v>
      </c>
      <c r="G16" s="101"/>
      <c r="H16" s="101"/>
      <c r="I16" s="101" t="s">
        <v>406</v>
      </c>
    </row>
    <row r="17" spans="1:9" ht="15.75" customHeight="1">
      <c r="A17" s="38">
        <v>7</v>
      </c>
      <c r="B17" s="47" t="s">
        <v>403</v>
      </c>
      <c r="C17" s="49" t="s">
        <v>101</v>
      </c>
      <c r="D17" s="100" t="s">
        <v>170</v>
      </c>
      <c r="E17" s="101" t="s">
        <v>405</v>
      </c>
      <c r="F17" s="101" t="s">
        <v>405</v>
      </c>
      <c r="G17" s="101"/>
      <c r="H17" s="101"/>
      <c r="I17" s="101" t="s">
        <v>406</v>
      </c>
    </row>
    <row r="18" spans="1:9" ht="15.75" customHeight="1">
      <c r="A18" s="38">
        <v>8</v>
      </c>
      <c r="B18" s="47" t="s">
        <v>402</v>
      </c>
      <c r="C18" s="49" t="s">
        <v>108</v>
      </c>
      <c r="D18" s="100" t="s">
        <v>170</v>
      </c>
      <c r="E18" s="101" t="s">
        <v>405</v>
      </c>
      <c r="F18" s="101" t="s">
        <v>405</v>
      </c>
      <c r="G18" s="101"/>
      <c r="H18" s="101"/>
      <c r="I18" s="101" t="s">
        <v>406</v>
      </c>
    </row>
    <row r="19" spans="1:9" ht="15.75" customHeight="1">
      <c r="A19" s="38">
        <v>9</v>
      </c>
      <c r="B19" s="47" t="s">
        <v>396</v>
      </c>
      <c r="C19" s="49" t="s">
        <v>55</v>
      </c>
      <c r="D19" s="99" t="s">
        <v>168</v>
      </c>
      <c r="E19" s="101" t="s">
        <v>405</v>
      </c>
      <c r="F19" s="101" t="s">
        <v>405</v>
      </c>
      <c r="G19" s="101"/>
      <c r="H19" s="101"/>
      <c r="I19" s="101" t="s">
        <v>406</v>
      </c>
    </row>
    <row r="20" spans="1:9" ht="15.75" customHeight="1">
      <c r="A20" s="38">
        <v>10</v>
      </c>
      <c r="B20" s="47" t="s">
        <v>397</v>
      </c>
      <c r="C20" s="49" t="s">
        <v>71</v>
      </c>
      <c r="D20" s="99" t="s">
        <v>58</v>
      </c>
      <c r="E20" s="101" t="s">
        <v>405</v>
      </c>
      <c r="F20" s="101" t="s">
        <v>405</v>
      </c>
      <c r="G20" s="101"/>
      <c r="H20" s="101"/>
      <c r="I20" s="101" t="s">
        <v>406</v>
      </c>
    </row>
    <row r="21" spans="1:9" ht="15.75" customHeight="1">
      <c r="A21" s="38">
        <v>11</v>
      </c>
      <c r="B21" s="119" t="s">
        <v>410</v>
      </c>
      <c r="C21" s="100" t="s">
        <v>412</v>
      </c>
      <c r="D21" s="100" t="s">
        <v>170</v>
      </c>
      <c r="E21" s="102" t="s">
        <v>405</v>
      </c>
      <c r="F21" s="102"/>
      <c r="G21" s="102"/>
      <c r="H21" s="102"/>
      <c r="I21" s="102" t="s">
        <v>406</v>
      </c>
    </row>
    <row r="22" spans="1:9" ht="15.75" customHeight="1">
      <c r="A22" s="38">
        <v>12</v>
      </c>
      <c r="B22" s="47" t="s">
        <v>170</v>
      </c>
      <c r="C22" s="49" t="s">
        <v>170</v>
      </c>
      <c r="D22" s="99" t="s">
        <v>409</v>
      </c>
      <c r="E22" s="101"/>
      <c r="F22" s="101" t="s">
        <v>405</v>
      </c>
      <c r="G22" s="101" t="s">
        <v>405</v>
      </c>
      <c r="H22" s="101"/>
      <c r="I22" s="101" t="s">
        <v>406</v>
      </c>
    </row>
    <row r="23" spans="1:9" ht="15.75" customHeight="1">
      <c r="A23" s="38">
        <v>13</v>
      </c>
      <c r="B23" s="47" t="s">
        <v>398</v>
      </c>
      <c r="C23" s="49" t="s">
        <v>407</v>
      </c>
      <c r="D23" s="99" t="s">
        <v>170</v>
      </c>
      <c r="E23" s="101"/>
      <c r="F23" s="101" t="s">
        <v>405</v>
      </c>
      <c r="G23" s="101"/>
      <c r="H23" s="101"/>
      <c r="I23" s="101" t="s">
        <v>406</v>
      </c>
    </row>
    <row r="24" spans="1:9" ht="15.75" customHeight="1">
      <c r="A24" s="38">
        <v>14</v>
      </c>
      <c r="B24" s="47" t="s">
        <v>399</v>
      </c>
      <c r="C24" s="49" t="s">
        <v>408</v>
      </c>
      <c r="D24" s="99" t="s">
        <v>411</v>
      </c>
      <c r="E24" s="101" t="s">
        <v>405</v>
      </c>
      <c r="F24" s="101" t="s">
        <v>405</v>
      </c>
      <c r="G24" s="101"/>
      <c r="H24" s="101"/>
      <c r="I24" s="101" t="s">
        <v>406</v>
      </c>
    </row>
    <row r="25" spans="1:9" ht="14.5">
      <c r="A25" s="55"/>
      <c r="B25" s="5"/>
    </row>
    <row r="26" spans="1:9" ht="14.5">
      <c r="A26" s="55"/>
    </row>
    <row r="27" spans="1:9" ht="14.5">
      <c r="A27" s="55"/>
    </row>
    <row r="28" spans="1:9" ht="14.5">
      <c r="A28" s="55"/>
    </row>
    <row r="29" spans="1:9" ht="15.75" customHeight="1">
      <c r="A29" s="55"/>
    </row>
    <row r="30" spans="1:9" ht="15.75" customHeight="1">
      <c r="A30" s="55"/>
    </row>
    <row r="31" spans="1:9" ht="15.75" customHeight="1">
      <c r="A31" s="55"/>
    </row>
    <row r="32" spans="1:9" ht="15.75" customHeight="1">
      <c r="A32" s="55"/>
    </row>
    <row r="33" spans="1:1" ht="15.75" customHeight="1">
      <c r="A33" s="55"/>
    </row>
    <row r="34" spans="1:1" ht="15.75" customHeight="1">
      <c r="A34" s="55"/>
    </row>
    <row r="35" spans="1:1" ht="15.75" customHeight="1">
      <c r="A35" s="55"/>
    </row>
    <row r="36" spans="1:1" ht="15.75" customHeight="1">
      <c r="A36" s="55"/>
    </row>
    <row r="37" spans="1:1" ht="15.75" customHeight="1">
      <c r="A37" s="55"/>
    </row>
    <row r="38" spans="1:1" ht="15.75" customHeight="1">
      <c r="A38" s="55"/>
    </row>
    <row r="39" spans="1:1" ht="15.75" customHeight="1">
      <c r="A39" s="55"/>
    </row>
    <row r="40" spans="1:1" ht="15.75" customHeight="1">
      <c r="A40" s="55"/>
    </row>
    <row r="41" spans="1:1" ht="15.75" customHeight="1">
      <c r="A41" s="55"/>
    </row>
    <row r="42" spans="1:1" ht="15.75" customHeight="1">
      <c r="A42" s="55"/>
    </row>
    <row r="43" spans="1:1" ht="15.75" customHeight="1">
      <c r="A43" s="55"/>
    </row>
    <row r="44" spans="1:1" ht="15.75" customHeight="1">
      <c r="A44" s="55"/>
    </row>
    <row r="45" spans="1:1" ht="15.75" customHeight="1">
      <c r="A45" s="55"/>
    </row>
    <row r="46" spans="1:1" ht="15.75" customHeight="1">
      <c r="A46" s="55"/>
    </row>
    <row r="47" spans="1:1" ht="15.75" customHeight="1">
      <c r="A47" s="55"/>
    </row>
    <row r="48" spans="1:1" ht="15.75" customHeight="1">
      <c r="A48" s="55"/>
    </row>
    <row r="49" spans="1:1" ht="15.75" customHeight="1">
      <c r="A49" s="55"/>
    </row>
    <row r="50" spans="1:1" ht="15.75" customHeight="1">
      <c r="A50" s="55"/>
    </row>
    <row r="51" spans="1:1" ht="15.75" customHeight="1">
      <c r="A51" s="55"/>
    </row>
    <row r="52" spans="1:1" ht="15.75" customHeight="1">
      <c r="A52" s="55"/>
    </row>
    <row r="53" spans="1:1" ht="15.75" customHeight="1">
      <c r="A53" s="55"/>
    </row>
    <row r="54" spans="1:1" ht="15.75" customHeight="1">
      <c r="A54" s="55"/>
    </row>
    <row r="55" spans="1:1" ht="15.75" customHeight="1">
      <c r="A55" s="55"/>
    </row>
    <row r="56" spans="1:1" ht="15.75" customHeight="1">
      <c r="A56" s="55"/>
    </row>
    <row r="57" spans="1:1" ht="15.75" customHeight="1">
      <c r="A57" s="55"/>
    </row>
    <row r="58" spans="1:1" ht="15.75" customHeight="1">
      <c r="A58" s="55"/>
    </row>
    <row r="59" spans="1:1" ht="15.75" customHeight="1">
      <c r="A59" s="55"/>
    </row>
    <row r="60" spans="1:1" ht="15.75" customHeight="1">
      <c r="A60" s="55"/>
    </row>
    <row r="61" spans="1:1" ht="15.75" customHeight="1">
      <c r="A61" s="55"/>
    </row>
    <row r="62" spans="1:1" ht="15.75" customHeight="1">
      <c r="A62" s="55"/>
    </row>
    <row r="63" spans="1:1" ht="15.75" customHeight="1">
      <c r="A63" s="55"/>
    </row>
    <row r="64" spans="1:1" ht="15.75" customHeight="1">
      <c r="A64" s="55"/>
    </row>
    <row r="65" spans="1:1" ht="15.75" customHeight="1">
      <c r="A65" s="55"/>
    </row>
    <row r="66" spans="1:1" ht="15.75" customHeight="1">
      <c r="A66" s="55"/>
    </row>
    <row r="67" spans="1:1" ht="15.75" customHeight="1">
      <c r="A67" s="55"/>
    </row>
    <row r="68" spans="1:1" ht="15.75" customHeight="1">
      <c r="A68" s="55"/>
    </row>
    <row r="69" spans="1:1" ht="15.75" customHeight="1">
      <c r="A69" s="55"/>
    </row>
    <row r="70" spans="1:1" ht="15.75" customHeight="1">
      <c r="A70" s="55"/>
    </row>
    <row r="71" spans="1:1" ht="15.75" customHeight="1">
      <c r="A71" s="55"/>
    </row>
    <row r="72" spans="1:1" ht="15.75" customHeight="1">
      <c r="A72" s="55"/>
    </row>
    <row r="73" spans="1:1" ht="15.75" customHeight="1">
      <c r="A73" s="55"/>
    </row>
    <row r="74" spans="1:1" ht="15.75" customHeight="1">
      <c r="A74" s="55"/>
    </row>
    <row r="75" spans="1:1" ht="15.75" customHeight="1">
      <c r="A75" s="55"/>
    </row>
    <row r="76" spans="1:1" ht="15.75" customHeight="1">
      <c r="A76" s="55"/>
    </row>
    <row r="77" spans="1:1" ht="15.75" customHeight="1">
      <c r="A77" s="55"/>
    </row>
    <row r="78" spans="1:1" ht="15.75" customHeight="1">
      <c r="A78" s="55"/>
    </row>
    <row r="79" spans="1:1" ht="15.75" customHeight="1">
      <c r="A79" s="55"/>
    </row>
    <row r="80" spans="1:1" ht="15.75" customHeight="1">
      <c r="A80" s="55"/>
    </row>
    <row r="81" spans="1:1" ht="15.75" customHeight="1">
      <c r="A81" s="55"/>
    </row>
    <row r="82" spans="1:1" ht="15.75" customHeight="1">
      <c r="A82" s="55"/>
    </row>
    <row r="83" spans="1:1" ht="15.75" customHeight="1">
      <c r="A83" s="55"/>
    </row>
    <row r="84" spans="1:1" ht="15.75" customHeight="1">
      <c r="A84" s="55"/>
    </row>
    <row r="85" spans="1:1" ht="15.75" customHeight="1">
      <c r="A85" s="55"/>
    </row>
    <row r="86" spans="1:1" ht="15.75" customHeight="1">
      <c r="A86" s="55"/>
    </row>
    <row r="87" spans="1:1" ht="15.75" customHeight="1">
      <c r="A87" s="55"/>
    </row>
    <row r="88" spans="1:1" ht="15.75" customHeight="1">
      <c r="A88" s="55"/>
    </row>
    <row r="89" spans="1:1" ht="15.75" customHeight="1">
      <c r="A89" s="55"/>
    </row>
    <row r="90" spans="1:1" ht="15.75" customHeight="1">
      <c r="A90" s="55"/>
    </row>
    <row r="91" spans="1:1" ht="15.75" customHeight="1">
      <c r="A91" s="55"/>
    </row>
    <row r="92" spans="1:1" ht="15.75" customHeight="1">
      <c r="A92" s="55"/>
    </row>
    <row r="93" spans="1:1" ht="15.75" customHeight="1">
      <c r="A93" s="55"/>
    </row>
    <row r="94" spans="1:1" ht="15.75" customHeight="1">
      <c r="A94" s="55"/>
    </row>
    <row r="95" spans="1:1" ht="15.75" customHeight="1">
      <c r="A95" s="55"/>
    </row>
    <row r="96" spans="1:1" ht="15.75" customHeight="1">
      <c r="A96" s="55"/>
    </row>
    <row r="97" spans="1:1" ht="15.75" customHeight="1">
      <c r="A97" s="55"/>
    </row>
    <row r="98" spans="1:1" ht="15.75" customHeight="1">
      <c r="A98" s="55"/>
    </row>
    <row r="99" spans="1:1" ht="15.75" customHeight="1">
      <c r="A99" s="55"/>
    </row>
    <row r="100" spans="1:1" ht="15.75" customHeight="1">
      <c r="A100" s="55"/>
    </row>
    <row r="101" spans="1:1" ht="15.75" customHeight="1">
      <c r="A101" s="55"/>
    </row>
    <row r="102" spans="1:1" ht="15.75" customHeight="1">
      <c r="A102" s="55"/>
    </row>
    <row r="103" spans="1:1" ht="15.75" customHeight="1">
      <c r="A103" s="55"/>
    </row>
    <row r="104" spans="1:1" ht="15.75" customHeight="1">
      <c r="A104" s="55"/>
    </row>
    <row r="105" spans="1:1" ht="15.75" customHeight="1">
      <c r="A105" s="55"/>
    </row>
    <row r="106" spans="1:1" ht="15.75" customHeight="1">
      <c r="A106" s="55"/>
    </row>
    <row r="107" spans="1:1" ht="15.75" customHeight="1">
      <c r="A107" s="55"/>
    </row>
    <row r="108" spans="1:1" ht="15.75" customHeight="1">
      <c r="A108" s="55"/>
    </row>
    <row r="109" spans="1:1" ht="15.75" customHeight="1">
      <c r="A109" s="55"/>
    </row>
    <row r="110" spans="1:1" ht="15.75" customHeight="1">
      <c r="A110" s="55"/>
    </row>
    <row r="111" spans="1:1" ht="15.75" customHeight="1">
      <c r="A111" s="55"/>
    </row>
    <row r="112" spans="1:1" ht="15.75" customHeight="1">
      <c r="A112" s="55"/>
    </row>
    <row r="113" spans="1:1" ht="15.75" customHeight="1">
      <c r="A113" s="55"/>
    </row>
    <row r="114" spans="1:1" ht="15.75" customHeight="1">
      <c r="A114" s="55"/>
    </row>
    <row r="115" spans="1:1" ht="15.75" customHeight="1">
      <c r="A115" s="55"/>
    </row>
    <row r="116" spans="1:1" ht="15.75" customHeight="1">
      <c r="A116" s="55"/>
    </row>
    <row r="117" spans="1:1" ht="15.75" customHeight="1">
      <c r="A117" s="55"/>
    </row>
    <row r="118" spans="1:1" ht="15.75" customHeight="1">
      <c r="A118" s="55"/>
    </row>
    <row r="119" spans="1:1" ht="15.75" customHeight="1">
      <c r="A119" s="55"/>
    </row>
    <row r="120" spans="1:1" ht="15.75" customHeight="1">
      <c r="A120" s="55"/>
    </row>
    <row r="121" spans="1:1" ht="15.75" customHeight="1">
      <c r="A121" s="55"/>
    </row>
    <row r="122" spans="1:1" ht="15.75" customHeight="1">
      <c r="A122" s="55"/>
    </row>
    <row r="123" spans="1:1" ht="15.75" customHeight="1">
      <c r="A123" s="55"/>
    </row>
    <row r="124" spans="1:1" ht="15.75" customHeight="1">
      <c r="A124" s="55"/>
    </row>
    <row r="125" spans="1:1" ht="15.75" customHeight="1">
      <c r="A125" s="55"/>
    </row>
    <row r="126" spans="1:1" ht="15.75" customHeight="1">
      <c r="A126" s="55"/>
    </row>
    <row r="127" spans="1:1" ht="15.75" customHeight="1">
      <c r="A127" s="55"/>
    </row>
    <row r="128" spans="1:1" ht="15.75" customHeight="1">
      <c r="A128" s="55"/>
    </row>
    <row r="129" spans="1:1" ht="15.75" customHeight="1">
      <c r="A129" s="55"/>
    </row>
    <row r="130" spans="1:1" ht="15.75" customHeight="1">
      <c r="A130" s="55"/>
    </row>
    <row r="131" spans="1:1" ht="15.75" customHeight="1">
      <c r="A131" s="55"/>
    </row>
    <row r="132" spans="1:1" ht="15.75" customHeight="1">
      <c r="A132" s="55"/>
    </row>
    <row r="133" spans="1:1" ht="15.75" customHeight="1">
      <c r="A133" s="55"/>
    </row>
    <row r="134" spans="1:1" ht="15.75" customHeight="1">
      <c r="A134" s="55"/>
    </row>
    <row r="135" spans="1:1" ht="15.75" customHeight="1">
      <c r="A135" s="55"/>
    </row>
    <row r="136" spans="1:1" ht="15.75" customHeight="1">
      <c r="A136" s="55"/>
    </row>
    <row r="137" spans="1:1" ht="15.75" customHeight="1">
      <c r="A137" s="55"/>
    </row>
    <row r="138" spans="1:1" ht="15.75" customHeight="1">
      <c r="A138" s="55"/>
    </row>
    <row r="139" spans="1:1" ht="15.75" customHeight="1">
      <c r="A139" s="55"/>
    </row>
    <row r="140" spans="1:1" ht="15.75" customHeight="1">
      <c r="A140" s="55"/>
    </row>
    <row r="141" spans="1:1" ht="15.75" customHeight="1">
      <c r="A141" s="55"/>
    </row>
    <row r="142" spans="1:1" ht="15.75" customHeight="1">
      <c r="A142" s="55"/>
    </row>
    <row r="143" spans="1:1" ht="15.75" customHeight="1">
      <c r="A143" s="55"/>
    </row>
    <row r="144" spans="1:1" ht="15.75" customHeight="1">
      <c r="A144" s="55"/>
    </row>
    <row r="145" spans="1:1" ht="15.75" customHeight="1">
      <c r="A145" s="55"/>
    </row>
    <row r="146" spans="1:1" ht="15.75" customHeight="1">
      <c r="A146" s="55"/>
    </row>
    <row r="147" spans="1:1" ht="15.75" customHeight="1">
      <c r="A147" s="55"/>
    </row>
    <row r="148" spans="1:1" ht="15.75" customHeight="1">
      <c r="A148" s="55"/>
    </row>
    <row r="149" spans="1:1" ht="15.75" customHeight="1">
      <c r="A149" s="55"/>
    </row>
    <row r="150" spans="1:1" ht="15.75" customHeight="1">
      <c r="A150" s="55"/>
    </row>
    <row r="151" spans="1:1" ht="15.75" customHeight="1">
      <c r="A151" s="55"/>
    </row>
    <row r="152" spans="1:1" ht="15.75" customHeight="1">
      <c r="A152" s="55"/>
    </row>
    <row r="153" spans="1:1" ht="15.75" customHeight="1">
      <c r="A153" s="55"/>
    </row>
    <row r="154" spans="1:1" ht="15.75" customHeight="1">
      <c r="A154" s="55"/>
    </row>
    <row r="155" spans="1:1" ht="15.75" customHeight="1">
      <c r="A155" s="55"/>
    </row>
    <row r="156" spans="1:1" ht="15.75" customHeight="1">
      <c r="A156" s="55"/>
    </row>
    <row r="157" spans="1:1" ht="15.75" customHeight="1">
      <c r="A157" s="55"/>
    </row>
    <row r="158" spans="1:1" ht="15.75" customHeight="1">
      <c r="A158" s="55"/>
    </row>
    <row r="159" spans="1:1" ht="15.75" customHeight="1">
      <c r="A159" s="55"/>
    </row>
    <row r="160" spans="1:1" ht="15.75" customHeight="1">
      <c r="A160" s="55"/>
    </row>
    <row r="161" spans="1:1" ht="15.75" customHeight="1">
      <c r="A161" s="55"/>
    </row>
    <row r="162" spans="1:1" ht="15.75" customHeight="1">
      <c r="A162" s="55"/>
    </row>
    <row r="163" spans="1:1" ht="15.75" customHeight="1">
      <c r="A163" s="55"/>
    </row>
    <row r="164" spans="1:1" ht="15.75" customHeight="1">
      <c r="A164" s="55"/>
    </row>
    <row r="165" spans="1:1" ht="15.75" customHeight="1">
      <c r="A165" s="55"/>
    </row>
    <row r="166" spans="1:1" ht="15.75" customHeight="1">
      <c r="A166" s="55"/>
    </row>
    <row r="167" spans="1:1" ht="15.75" customHeight="1">
      <c r="A167" s="55"/>
    </row>
    <row r="168" spans="1:1" ht="15.75" customHeight="1">
      <c r="A168" s="55"/>
    </row>
    <row r="169" spans="1:1" ht="15.75" customHeight="1">
      <c r="A169" s="55"/>
    </row>
    <row r="170" spans="1:1" ht="15.75" customHeight="1">
      <c r="A170" s="55"/>
    </row>
    <row r="171" spans="1:1" ht="15.75" customHeight="1">
      <c r="A171" s="55"/>
    </row>
    <row r="172" spans="1:1" ht="15.75" customHeight="1">
      <c r="A172" s="55"/>
    </row>
    <row r="173" spans="1:1" ht="15.75" customHeight="1">
      <c r="A173" s="55"/>
    </row>
    <row r="174" spans="1:1" ht="15.75" customHeight="1">
      <c r="A174" s="55"/>
    </row>
    <row r="175" spans="1:1" ht="15.75" customHeight="1">
      <c r="A175" s="55"/>
    </row>
    <row r="176" spans="1:1" ht="15.75" customHeight="1">
      <c r="A176" s="55"/>
    </row>
    <row r="177" spans="1:1" ht="15.75" customHeight="1">
      <c r="A177" s="55"/>
    </row>
    <row r="178" spans="1:1" ht="15.75" customHeight="1">
      <c r="A178" s="55"/>
    </row>
    <row r="179" spans="1:1" ht="15.75" customHeight="1">
      <c r="A179" s="55"/>
    </row>
    <row r="180" spans="1:1" ht="15.75" customHeight="1">
      <c r="A180" s="55"/>
    </row>
    <row r="181" spans="1:1" ht="15.75" customHeight="1">
      <c r="A181" s="55"/>
    </row>
    <row r="182" spans="1:1" ht="15.75" customHeight="1">
      <c r="A182" s="55"/>
    </row>
    <row r="183" spans="1:1" ht="15.75" customHeight="1">
      <c r="A183" s="55"/>
    </row>
    <row r="184" spans="1:1" ht="15.75" customHeight="1">
      <c r="A184" s="55"/>
    </row>
    <row r="185" spans="1:1" ht="15.75" customHeight="1">
      <c r="A185" s="55"/>
    </row>
    <row r="186" spans="1:1" ht="15.75" customHeight="1">
      <c r="A186" s="55"/>
    </row>
    <row r="187" spans="1:1" ht="15.75" customHeight="1">
      <c r="A187" s="55"/>
    </row>
    <row r="188" spans="1:1" ht="15.75" customHeight="1">
      <c r="A188" s="55"/>
    </row>
    <row r="189" spans="1:1" ht="15.75" customHeight="1">
      <c r="A189" s="55"/>
    </row>
    <row r="190" spans="1:1" ht="15.75" customHeight="1">
      <c r="A190" s="55"/>
    </row>
    <row r="191" spans="1:1" ht="15.75" customHeight="1">
      <c r="A191" s="55"/>
    </row>
    <row r="192" spans="1:1" ht="15.75" customHeight="1">
      <c r="A192" s="55"/>
    </row>
    <row r="193" spans="1:1" ht="15.75" customHeight="1">
      <c r="A193" s="55"/>
    </row>
    <row r="194" spans="1:1" ht="15.75" customHeight="1">
      <c r="A194" s="55"/>
    </row>
    <row r="195" spans="1:1" ht="15.75" customHeight="1">
      <c r="A195" s="55"/>
    </row>
    <row r="196" spans="1:1" ht="15.75" customHeight="1">
      <c r="A196" s="55"/>
    </row>
    <row r="197" spans="1:1" ht="15.75" customHeight="1">
      <c r="A197" s="55"/>
    </row>
    <row r="198" spans="1:1" ht="15.75" customHeight="1">
      <c r="A198" s="55"/>
    </row>
    <row r="199" spans="1:1" ht="15.75" customHeight="1">
      <c r="A199" s="55"/>
    </row>
    <row r="200" spans="1:1" ht="15.75" customHeight="1">
      <c r="A200" s="55"/>
    </row>
    <row r="201" spans="1:1" ht="15.75" customHeight="1">
      <c r="A201" s="55"/>
    </row>
    <row r="202" spans="1:1" ht="15.75" customHeight="1">
      <c r="A202" s="55"/>
    </row>
    <row r="203" spans="1:1" ht="15.75" customHeight="1">
      <c r="A203" s="55"/>
    </row>
    <row r="204" spans="1:1" ht="15.75" customHeight="1">
      <c r="A204" s="55"/>
    </row>
    <row r="205" spans="1:1" ht="15.75" customHeight="1">
      <c r="A205" s="55"/>
    </row>
    <row r="206" spans="1:1" ht="15.75" customHeight="1">
      <c r="A206" s="55"/>
    </row>
    <row r="207" spans="1:1" ht="15.75" customHeight="1">
      <c r="A207" s="55"/>
    </row>
    <row r="208" spans="1:1" ht="15.75" customHeight="1">
      <c r="A208" s="55"/>
    </row>
    <row r="209" spans="1:1" ht="15.75" customHeight="1">
      <c r="A209" s="55"/>
    </row>
    <row r="210" spans="1:1" ht="15.75" customHeight="1">
      <c r="A210" s="55"/>
    </row>
    <row r="211" spans="1:1" ht="15.75" customHeight="1">
      <c r="A211" s="55"/>
    </row>
    <row r="212" spans="1:1" ht="15.75" customHeight="1">
      <c r="A212" s="55"/>
    </row>
    <row r="213" spans="1:1" ht="15.75" customHeight="1">
      <c r="A213" s="55"/>
    </row>
    <row r="214" spans="1:1" ht="15.75" customHeight="1">
      <c r="A214" s="55"/>
    </row>
    <row r="215" spans="1:1" ht="15.75" customHeight="1">
      <c r="A215" s="55"/>
    </row>
    <row r="216" spans="1:1" ht="15.75" customHeight="1">
      <c r="A216" s="55"/>
    </row>
    <row r="217" spans="1:1" ht="15.75" customHeight="1">
      <c r="A217" s="55"/>
    </row>
    <row r="218" spans="1:1" ht="15.75" customHeight="1">
      <c r="A218" s="55"/>
    </row>
    <row r="219" spans="1:1" ht="15.75" customHeight="1">
      <c r="A219" s="55"/>
    </row>
    <row r="220" spans="1:1" ht="15.75" customHeight="1">
      <c r="A220" s="55"/>
    </row>
    <row r="221" spans="1:1" ht="15.75" customHeight="1">
      <c r="A221" s="55"/>
    </row>
    <row r="222" spans="1:1" ht="15.75" customHeight="1">
      <c r="A222" s="55"/>
    </row>
    <row r="223" spans="1:1" ht="15.75" customHeight="1">
      <c r="A223" s="55"/>
    </row>
    <row r="224" spans="1:1" ht="15.75" customHeight="1">
      <c r="A224" s="55"/>
    </row>
    <row r="225" spans="1:1" ht="15.75" customHeight="1">
      <c r="A225" s="55"/>
    </row>
    <row r="226" spans="1:1" ht="15.75" customHeight="1">
      <c r="A226" s="55"/>
    </row>
    <row r="227" spans="1:1" ht="15.75" customHeight="1">
      <c r="A227" s="55"/>
    </row>
    <row r="228" spans="1:1" ht="15.75" customHeight="1">
      <c r="A228" s="55"/>
    </row>
    <row r="229" spans="1:1" ht="15.75" customHeight="1">
      <c r="A229" s="55"/>
    </row>
    <row r="230" spans="1:1" ht="15.75" customHeight="1">
      <c r="A230" s="55"/>
    </row>
    <row r="231" spans="1:1" ht="15.75" customHeight="1">
      <c r="A231" s="55"/>
    </row>
    <row r="232" spans="1:1" ht="15.75" customHeight="1">
      <c r="A232" s="55"/>
    </row>
    <row r="233" spans="1:1" ht="15.75" customHeight="1">
      <c r="A233" s="55"/>
    </row>
    <row r="234" spans="1:1" ht="15.75" customHeight="1">
      <c r="A234" s="55"/>
    </row>
    <row r="235" spans="1:1" ht="15.75" customHeight="1">
      <c r="A235" s="55"/>
    </row>
    <row r="236" spans="1:1" ht="15.75" customHeight="1">
      <c r="A236" s="55"/>
    </row>
    <row r="237" spans="1:1" ht="15.75" customHeight="1">
      <c r="A237" s="55"/>
    </row>
    <row r="238" spans="1:1" ht="15.75" customHeight="1">
      <c r="A238" s="55"/>
    </row>
    <row r="239" spans="1:1" ht="15.75" customHeight="1">
      <c r="A239" s="55"/>
    </row>
    <row r="240" spans="1:1" ht="15.75" customHeight="1">
      <c r="A240" s="55"/>
    </row>
    <row r="241" spans="1:1" ht="15.75" customHeight="1">
      <c r="A241" s="55"/>
    </row>
    <row r="242" spans="1:1" ht="15.75" customHeight="1">
      <c r="A242" s="55"/>
    </row>
    <row r="243" spans="1:1" ht="15.75" customHeight="1">
      <c r="A243" s="55"/>
    </row>
    <row r="244" spans="1:1" ht="15.75" customHeight="1">
      <c r="A244" s="55"/>
    </row>
    <row r="245" spans="1:1" ht="15.75" customHeight="1">
      <c r="A245" s="55"/>
    </row>
    <row r="246" spans="1:1" ht="15.75" customHeight="1">
      <c r="A246" s="55"/>
    </row>
    <row r="247" spans="1:1" ht="15.75" customHeight="1">
      <c r="A247" s="55"/>
    </row>
    <row r="248" spans="1:1" ht="15.75" customHeight="1">
      <c r="A248" s="55"/>
    </row>
    <row r="249" spans="1:1" ht="15.75" customHeight="1">
      <c r="A249" s="55"/>
    </row>
    <row r="250" spans="1:1" ht="15.75" customHeight="1">
      <c r="A250" s="55"/>
    </row>
    <row r="251" spans="1:1" ht="15.75" customHeight="1">
      <c r="A251" s="55"/>
    </row>
    <row r="252" spans="1:1" ht="15.75" customHeight="1">
      <c r="A252" s="55"/>
    </row>
    <row r="253" spans="1:1" ht="15.75" customHeight="1">
      <c r="A253" s="55"/>
    </row>
    <row r="254" spans="1:1" ht="15.75" customHeight="1">
      <c r="A254" s="55"/>
    </row>
    <row r="255" spans="1:1" ht="15.75" customHeight="1">
      <c r="A255" s="55"/>
    </row>
    <row r="256" spans="1:1" ht="15.75" customHeight="1">
      <c r="A256" s="55"/>
    </row>
    <row r="257" spans="1:1" ht="15.75" customHeight="1">
      <c r="A257" s="55"/>
    </row>
    <row r="258" spans="1:1" ht="15.75" customHeight="1">
      <c r="A258" s="55"/>
    </row>
    <row r="259" spans="1:1" ht="15.75" customHeight="1">
      <c r="A259" s="55"/>
    </row>
    <row r="260" spans="1:1" ht="15.75" customHeight="1">
      <c r="A260" s="55"/>
    </row>
    <row r="261" spans="1:1" ht="15.75" customHeight="1">
      <c r="A261" s="55"/>
    </row>
    <row r="262" spans="1:1" ht="15.75" customHeight="1">
      <c r="A262" s="55"/>
    </row>
    <row r="263" spans="1:1" ht="15.75" customHeight="1">
      <c r="A263" s="55"/>
    </row>
    <row r="264" spans="1:1" ht="15.75" customHeight="1">
      <c r="A264" s="55"/>
    </row>
    <row r="265" spans="1:1" ht="15.75" customHeight="1">
      <c r="A265" s="55"/>
    </row>
    <row r="266" spans="1:1" ht="15.75" customHeight="1">
      <c r="A266" s="55"/>
    </row>
    <row r="267" spans="1:1" ht="15.75" customHeight="1">
      <c r="A267" s="55"/>
    </row>
    <row r="268" spans="1:1" ht="15.75" customHeight="1">
      <c r="A268" s="55"/>
    </row>
    <row r="269" spans="1:1" ht="15.75" customHeight="1">
      <c r="A269" s="55"/>
    </row>
    <row r="270" spans="1:1" ht="15.75" customHeight="1">
      <c r="A270" s="55"/>
    </row>
    <row r="271" spans="1:1" ht="15.75" customHeight="1">
      <c r="A271" s="55"/>
    </row>
    <row r="272" spans="1:1" ht="15.75" customHeight="1">
      <c r="A272" s="55"/>
    </row>
    <row r="273" spans="1:1" ht="15.75" customHeight="1">
      <c r="A273" s="55"/>
    </row>
    <row r="274" spans="1:1" ht="15.75" customHeight="1">
      <c r="A274" s="55"/>
    </row>
    <row r="275" spans="1:1" ht="15.75" customHeight="1">
      <c r="A275" s="55"/>
    </row>
    <row r="276" spans="1:1" ht="15.75" customHeight="1">
      <c r="A276" s="55"/>
    </row>
    <row r="277" spans="1:1" ht="15.75" customHeight="1">
      <c r="A277" s="55"/>
    </row>
    <row r="278" spans="1:1" ht="15.75" customHeight="1">
      <c r="A278" s="55"/>
    </row>
    <row r="279" spans="1:1" ht="15.75" customHeight="1">
      <c r="A279" s="55"/>
    </row>
    <row r="280" spans="1:1" ht="15.75" customHeight="1">
      <c r="A280" s="55"/>
    </row>
    <row r="281" spans="1:1" ht="15.75" customHeight="1">
      <c r="A281" s="55"/>
    </row>
    <row r="282" spans="1:1" ht="15.75" customHeight="1">
      <c r="A282" s="55"/>
    </row>
    <row r="283" spans="1:1" ht="15.75" customHeight="1">
      <c r="A283" s="55"/>
    </row>
    <row r="284" spans="1:1" ht="15.75" customHeight="1">
      <c r="A284" s="55"/>
    </row>
    <row r="285" spans="1:1" ht="15.75" customHeight="1">
      <c r="A285" s="55"/>
    </row>
    <row r="286" spans="1:1" ht="15.75" customHeight="1">
      <c r="A286" s="55"/>
    </row>
    <row r="287" spans="1:1" ht="15.75" customHeight="1">
      <c r="A287" s="55"/>
    </row>
    <row r="288" spans="1:1" ht="15.75" customHeight="1">
      <c r="A288" s="55"/>
    </row>
    <row r="289" spans="1:1" ht="15.75" customHeight="1">
      <c r="A289" s="55"/>
    </row>
    <row r="290" spans="1:1" ht="15.75" customHeight="1">
      <c r="A290" s="55"/>
    </row>
    <row r="291" spans="1:1" ht="15.75" customHeight="1">
      <c r="A291" s="55"/>
    </row>
    <row r="292" spans="1:1" ht="15.75" customHeight="1">
      <c r="A292" s="55"/>
    </row>
    <row r="293" spans="1:1" ht="15.75" customHeight="1">
      <c r="A293" s="55"/>
    </row>
    <row r="294" spans="1:1" ht="15.75" customHeight="1">
      <c r="A294" s="55"/>
    </row>
    <row r="295" spans="1:1" ht="15.75" customHeight="1">
      <c r="A295" s="55"/>
    </row>
    <row r="296" spans="1:1" ht="15.75" customHeight="1">
      <c r="A296" s="55"/>
    </row>
    <row r="297" spans="1:1" ht="15.75" customHeight="1">
      <c r="A297" s="55"/>
    </row>
    <row r="298" spans="1:1" ht="15.75" customHeight="1">
      <c r="A298" s="55"/>
    </row>
    <row r="299" spans="1:1" ht="15.75" customHeight="1">
      <c r="A299" s="55"/>
    </row>
    <row r="300" spans="1:1" ht="15.75" customHeight="1">
      <c r="A300" s="55"/>
    </row>
    <row r="301" spans="1:1" ht="15.75" customHeight="1">
      <c r="A301" s="55"/>
    </row>
    <row r="302" spans="1:1" ht="15.75" customHeight="1">
      <c r="A302" s="55"/>
    </row>
    <row r="303" spans="1:1" ht="15.75" customHeight="1">
      <c r="A303" s="55"/>
    </row>
    <row r="304" spans="1:1" ht="15.75" customHeight="1">
      <c r="A304" s="55"/>
    </row>
    <row r="305" spans="1:1" ht="15.75" customHeight="1">
      <c r="A305" s="55"/>
    </row>
    <row r="306" spans="1:1" ht="15.75" customHeight="1">
      <c r="A306" s="55"/>
    </row>
    <row r="307" spans="1:1" ht="15.75" customHeight="1">
      <c r="A307" s="55"/>
    </row>
    <row r="308" spans="1:1" ht="15.75" customHeight="1">
      <c r="A308" s="55"/>
    </row>
    <row r="309" spans="1:1" ht="15.75" customHeight="1">
      <c r="A309" s="55"/>
    </row>
    <row r="310" spans="1:1" ht="15.75" customHeight="1">
      <c r="A310" s="55"/>
    </row>
    <row r="311" spans="1:1" ht="15.75" customHeight="1">
      <c r="A311" s="55"/>
    </row>
    <row r="312" spans="1:1" ht="15.75" customHeight="1">
      <c r="A312" s="55"/>
    </row>
    <row r="313" spans="1:1" ht="15.75" customHeight="1">
      <c r="A313" s="55"/>
    </row>
    <row r="314" spans="1:1" ht="15.75" customHeight="1">
      <c r="A314" s="55"/>
    </row>
    <row r="315" spans="1:1" ht="15.75" customHeight="1">
      <c r="A315" s="55"/>
    </row>
    <row r="316" spans="1:1" ht="15.75" customHeight="1">
      <c r="A316" s="55"/>
    </row>
    <row r="317" spans="1:1" ht="15.75" customHeight="1">
      <c r="A317" s="55"/>
    </row>
    <row r="318" spans="1:1" ht="15.75" customHeight="1">
      <c r="A318" s="55"/>
    </row>
    <row r="319" spans="1:1" ht="15.75" customHeight="1">
      <c r="A319" s="55"/>
    </row>
    <row r="320" spans="1:1" ht="15.75" customHeight="1">
      <c r="A320" s="55"/>
    </row>
    <row r="321" spans="1:1" ht="15.75" customHeight="1">
      <c r="A321" s="55"/>
    </row>
    <row r="322" spans="1:1" ht="15.75" customHeight="1">
      <c r="A322" s="55"/>
    </row>
    <row r="323" spans="1:1" ht="15.75" customHeight="1">
      <c r="A323" s="55"/>
    </row>
    <row r="324" spans="1:1" ht="15.75" customHeight="1">
      <c r="A324" s="55"/>
    </row>
    <row r="325" spans="1:1" ht="15.75" customHeight="1">
      <c r="A325" s="55"/>
    </row>
    <row r="326" spans="1:1" ht="15.75" customHeight="1">
      <c r="A326" s="55"/>
    </row>
    <row r="327" spans="1:1" ht="15.75" customHeight="1">
      <c r="A327" s="55"/>
    </row>
    <row r="328" spans="1:1" ht="15.75" customHeight="1">
      <c r="A328" s="55"/>
    </row>
    <row r="329" spans="1:1" ht="15.75" customHeight="1">
      <c r="A329" s="55"/>
    </row>
    <row r="330" spans="1:1" ht="15.75" customHeight="1">
      <c r="A330" s="55"/>
    </row>
    <row r="331" spans="1:1" ht="15.75" customHeight="1">
      <c r="A331" s="55"/>
    </row>
    <row r="332" spans="1:1" ht="15.75" customHeight="1">
      <c r="A332" s="55"/>
    </row>
    <row r="333" spans="1:1" ht="15.75" customHeight="1">
      <c r="A333" s="55"/>
    </row>
    <row r="334" spans="1:1" ht="15.75" customHeight="1">
      <c r="A334" s="55"/>
    </row>
    <row r="335" spans="1:1" ht="15.75" customHeight="1">
      <c r="A335" s="55"/>
    </row>
    <row r="336" spans="1:1" ht="15.75" customHeight="1">
      <c r="A336" s="55"/>
    </row>
    <row r="337" spans="1:1" ht="15.75" customHeight="1">
      <c r="A337" s="55"/>
    </row>
    <row r="338" spans="1:1" ht="15.75" customHeight="1">
      <c r="A338" s="55"/>
    </row>
    <row r="339" spans="1:1" ht="15.75" customHeight="1">
      <c r="A339" s="55"/>
    </row>
    <row r="340" spans="1:1" ht="15.75" customHeight="1">
      <c r="A340" s="55"/>
    </row>
    <row r="341" spans="1:1" ht="15.75" customHeight="1">
      <c r="A341" s="55"/>
    </row>
    <row r="342" spans="1:1" ht="15.75" customHeight="1">
      <c r="A342" s="55"/>
    </row>
    <row r="343" spans="1:1" ht="15.75" customHeight="1">
      <c r="A343" s="55"/>
    </row>
    <row r="344" spans="1:1" ht="15.75" customHeight="1">
      <c r="A344" s="55"/>
    </row>
    <row r="345" spans="1:1" ht="15.75" customHeight="1">
      <c r="A345" s="55"/>
    </row>
    <row r="346" spans="1:1" ht="15.75" customHeight="1">
      <c r="A346" s="55"/>
    </row>
    <row r="347" spans="1:1" ht="15.75" customHeight="1">
      <c r="A347" s="55"/>
    </row>
    <row r="348" spans="1:1" ht="15.75" customHeight="1">
      <c r="A348" s="55"/>
    </row>
    <row r="349" spans="1:1" ht="15.75" customHeight="1">
      <c r="A349" s="55"/>
    </row>
    <row r="350" spans="1:1" ht="15.75" customHeight="1">
      <c r="A350" s="55"/>
    </row>
    <row r="351" spans="1:1" ht="15.75" customHeight="1">
      <c r="A351" s="55"/>
    </row>
    <row r="352" spans="1:1" ht="15.75" customHeight="1">
      <c r="A352" s="55"/>
    </row>
    <row r="353" spans="1:1" ht="15.75" customHeight="1">
      <c r="A353" s="55"/>
    </row>
    <row r="354" spans="1:1" ht="15.75" customHeight="1">
      <c r="A354" s="55"/>
    </row>
    <row r="355" spans="1:1" ht="15.75" customHeight="1">
      <c r="A355" s="55"/>
    </row>
    <row r="356" spans="1:1" ht="15.75" customHeight="1">
      <c r="A356" s="55"/>
    </row>
    <row r="357" spans="1:1" ht="15.75" customHeight="1">
      <c r="A357" s="55"/>
    </row>
    <row r="358" spans="1:1" ht="15.75" customHeight="1">
      <c r="A358" s="55"/>
    </row>
    <row r="359" spans="1:1" ht="15.75" customHeight="1">
      <c r="A359" s="55"/>
    </row>
    <row r="360" spans="1:1" ht="15.75" customHeight="1">
      <c r="A360" s="55"/>
    </row>
    <row r="361" spans="1:1" ht="15.75" customHeight="1">
      <c r="A361" s="55"/>
    </row>
    <row r="362" spans="1:1" ht="15.75" customHeight="1">
      <c r="A362" s="55"/>
    </row>
    <row r="363" spans="1:1" ht="15.75" customHeight="1">
      <c r="A363" s="55"/>
    </row>
    <row r="364" spans="1:1" ht="15.75" customHeight="1">
      <c r="A364" s="55"/>
    </row>
    <row r="365" spans="1:1" ht="15.75" customHeight="1">
      <c r="A365" s="55"/>
    </row>
    <row r="366" spans="1:1" ht="15.75" customHeight="1">
      <c r="A366" s="55"/>
    </row>
    <row r="367" spans="1:1" ht="15.75" customHeight="1">
      <c r="A367" s="55"/>
    </row>
    <row r="368" spans="1:1" ht="15.75" customHeight="1">
      <c r="A368" s="55"/>
    </row>
    <row r="369" spans="1:1" ht="15.75" customHeight="1">
      <c r="A369" s="55"/>
    </row>
    <row r="370" spans="1:1" ht="15.75" customHeight="1">
      <c r="A370" s="55"/>
    </row>
    <row r="371" spans="1:1" ht="15.75" customHeight="1">
      <c r="A371" s="55"/>
    </row>
    <row r="372" spans="1:1" ht="15.75" customHeight="1">
      <c r="A372" s="55"/>
    </row>
    <row r="373" spans="1:1" ht="15.75" customHeight="1">
      <c r="A373" s="55"/>
    </row>
    <row r="374" spans="1:1" ht="15.75" customHeight="1">
      <c r="A374" s="55"/>
    </row>
    <row r="375" spans="1:1" ht="15.75" customHeight="1">
      <c r="A375" s="55"/>
    </row>
    <row r="376" spans="1:1" ht="15.75" customHeight="1">
      <c r="A376" s="55"/>
    </row>
    <row r="377" spans="1:1" ht="15.75" customHeight="1">
      <c r="A377" s="55"/>
    </row>
    <row r="378" spans="1:1" ht="15.75" customHeight="1">
      <c r="A378" s="55"/>
    </row>
    <row r="379" spans="1:1" ht="15.75" customHeight="1">
      <c r="A379" s="55"/>
    </row>
    <row r="380" spans="1:1" ht="15.75" customHeight="1">
      <c r="A380" s="55"/>
    </row>
    <row r="381" spans="1:1" ht="15.75" customHeight="1">
      <c r="A381" s="55"/>
    </row>
    <row r="382" spans="1:1" ht="15.75" customHeight="1">
      <c r="A382" s="55"/>
    </row>
    <row r="383" spans="1:1" ht="15.75" customHeight="1">
      <c r="A383" s="55"/>
    </row>
    <row r="384" spans="1:1" ht="15.75" customHeight="1">
      <c r="A384" s="55"/>
    </row>
    <row r="385" spans="1:1" ht="15.75" customHeight="1">
      <c r="A385" s="55"/>
    </row>
    <row r="386" spans="1:1" ht="15.75" customHeight="1">
      <c r="A386" s="55"/>
    </row>
    <row r="387" spans="1:1" ht="15.75" customHeight="1">
      <c r="A387" s="55"/>
    </row>
    <row r="388" spans="1:1" ht="15.75" customHeight="1">
      <c r="A388" s="55"/>
    </row>
    <row r="389" spans="1:1" ht="15.75" customHeight="1">
      <c r="A389" s="55"/>
    </row>
    <row r="390" spans="1:1" ht="15.75" customHeight="1">
      <c r="A390" s="55"/>
    </row>
    <row r="391" spans="1:1" ht="15.75" customHeight="1">
      <c r="A391" s="55"/>
    </row>
    <row r="392" spans="1:1" ht="15.75" customHeight="1">
      <c r="A392" s="55"/>
    </row>
    <row r="393" spans="1:1" ht="15.75" customHeight="1">
      <c r="A393" s="55"/>
    </row>
    <row r="394" spans="1:1" ht="15.75" customHeight="1">
      <c r="A394" s="55"/>
    </row>
    <row r="395" spans="1:1" ht="15.75" customHeight="1">
      <c r="A395" s="55"/>
    </row>
    <row r="396" spans="1:1" ht="15.75" customHeight="1">
      <c r="A396" s="55"/>
    </row>
    <row r="397" spans="1:1" ht="15.75" customHeight="1">
      <c r="A397" s="55"/>
    </row>
    <row r="398" spans="1:1" ht="15.75" customHeight="1">
      <c r="A398" s="55"/>
    </row>
    <row r="399" spans="1:1" ht="15.75" customHeight="1">
      <c r="A399" s="55"/>
    </row>
    <row r="400" spans="1:1" ht="15.75" customHeight="1">
      <c r="A400" s="55"/>
    </row>
    <row r="401" spans="1:1" ht="15.75" customHeight="1">
      <c r="A401" s="55"/>
    </row>
    <row r="402" spans="1:1" ht="15.75" customHeight="1">
      <c r="A402" s="55"/>
    </row>
    <row r="403" spans="1:1" ht="15.75" customHeight="1">
      <c r="A403" s="55"/>
    </row>
    <row r="404" spans="1:1" ht="15.75" customHeight="1">
      <c r="A404" s="55"/>
    </row>
    <row r="405" spans="1:1" ht="15.75" customHeight="1">
      <c r="A405" s="55"/>
    </row>
    <row r="406" spans="1:1" ht="15.75" customHeight="1">
      <c r="A406" s="55"/>
    </row>
    <row r="407" spans="1:1" ht="15.75" customHeight="1">
      <c r="A407" s="55"/>
    </row>
    <row r="408" spans="1:1" ht="15.75" customHeight="1">
      <c r="A408" s="55"/>
    </row>
    <row r="409" spans="1:1" ht="15.75" customHeight="1">
      <c r="A409" s="55"/>
    </row>
    <row r="410" spans="1:1" ht="15.75" customHeight="1">
      <c r="A410" s="55"/>
    </row>
    <row r="411" spans="1:1" ht="15.75" customHeight="1">
      <c r="A411" s="55"/>
    </row>
    <row r="412" spans="1:1" ht="15.75" customHeight="1">
      <c r="A412" s="55"/>
    </row>
    <row r="413" spans="1:1" ht="15.75" customHeight="1">
      <c r="A413" s="55"/>
    </row>
    <row r="414" spans="1:1" ht="15.75" customHeight="1">
      <c r="A414" s="55"/>
    </row>
    <row r="415" spans="1:1" ht="15.75" customHeight="1">
      <c r="A415" s="55"/>
    </row>
    <row r="416" spans="1:1" ht="15.75" customHeight="1">
      <c r="A416" s="55"/>
    </row>
    <row r="417" spans="1:1" ht="15.75" customHeight="1">
      <c r="A417" s="55"/>
    </row>
    <row r="418" spans="1:1" ht="15.75" customHeight="1">
      <c r="A418" s="55"/>
    </row>
    <row r="419" spans="1:1" ht="15.75" customHeight="1">
      <c r="A419" s="55"/>
    </row>
    <row r="420" spans="1:1" ht="15.75" customHeight="1">
      <c r="A420" s="55"/>
    </row>
    <row r="421" spans="1:1" ht="15.75" customHeight="1">
      <c r="A421" s="55"/>
    </row>
    <row r="422" spans="1:1" ht="15.75" customHeight="1">
      <c r="A422" s="55"/>
    </row>
    <row r="423" spans="1:1" ht="15.75" customHeight="1">
      <c r="A423" s="55"/>
    </row>
    <row r="424" spans="1:1" ht="15.75" customHeight="1">
      <c r="A424" s="55"/>
    </row>
    <row r="425" spans="1:1" ht="15.75" customHeight="1">
      <c r="A425" s="55"/>
    </row>
    <row r="426" spans="1:1" ht="15.75" customHeight="1">
      <c r="A426" s="55"/>
    </row>
    <row r="427" spans="1:1" ht="15.75" customHeight="1">
      <c r="A427" s="55"/>
    </row>
    <row r="428" spans="1:1" ht="15.75" customHeight="1">
      <c r="A428" s="55"/>
    </row>
    <row r="429" spans="1:1" ht="15.75" customHeight="1">
      <c r="A429" s="55"/>
    </row>
    <row r="430" spans="1:1" ht="15.75" customHeight="1">
      <c r="A430" s="55"/>
    </row>
    <row r="431" spans="1:1" ht="15.75" customHeight="1">
      <c r="A431" s="55"/>
    </row>
    <row r="432" spans="1:1" ht="15.75" customHeight="1">
      <c r="A432" s="55"/>
    </row>
    <row r="433" spans="1:1" ht="15.75" customHeight="1">
      <c r="A433" s="55"/>
    </row>
    <row r="434" spans="1:1" ht="15.75" customHeight="1">
      <c r="A434" s="55"/>
    </row>
    <row r="435" spans="1:1" ht="15.75" customHeight="1">
      <c r="A435" s="55"/>
    </row>
    <row r="436" spans="1:1" ht="15.75" customHeight="1">
      <c r="A436" s="55"/>
    </row>
    <row r="437" spans="1:1" ht="15.75" customHeight="1">
      <c r="A437" s="55"/>
    </row>
    <row r="438" spans="1:1" ht="15.75" customHeight="1">
      <c r="A438" s="55"/>
    </row>
    <row r="439" spans="1:1" ht="15.75" customHeight="1">
      <c r="A439" s="55"/>
    </row>
    <row r="440" spans="1:1" ht="15.75" customHeight="1">
      <c r="A440" s="55"/>
    </row>
    <row r="441" spans="1:1" ht="15.75" customHeight="1">
      <c r="A441" s="55"/>
    </row>
    <row r="442" spans="1:1" ht="15.75" customHeight="1">
      <c r="A442" s="55"/>
    </row>
    <row r="443" spans="1:1" ht="15.75" customHeight="1">
      <c r="A443" s="55"/>
    </row>
    <row r="444" spans="1:1" ht="15.75" customHeight="1">
      <c r="A444" s="55"/>
    </row>
    <row r="445" spans="1:1" ht="15.75" customHeight="1">
      <c r="A445" s="55"/>
    </row>
    <row r="446" spans="1:1" ht="15.75" customHeight="1">
      <c r="A446" s="55"/>
    </row>
    <row r="447" spans="1:1" ht="15.75" customHeight="1">
      <c r="A447" s="55"/>
    </row>
    <row r="448" spans="1:1" ht="15.75" customHeight="1">
      <c r="A448" s="55"/>
    </row>
    <row r="449" spans="1:1" ht="15.75" customHeight="1">
      <c r="A449" s="55"/>
    </row>
    <row r="450" spans="1:1" ht="15.75" customHeight="1">
      <c r="A450" s="55"/>
    </row>
    <row r="451" spans="1:1" ht="15.75" customHeight="1">
      <c r="A451" s="55"/>
    </row>
    <row r="452" spans="1:1" ht="15.75" customHeight="1">
      <c r="A452" s="55"/>
    </row>
    <row r="453" spans="1:1" ht="15.75" customHeight="1">
      <c r="A453" s="55"/>
    </row>
    <row r="454" spans="1:1" ht="15.75" customHeight="1">
      <c r="A454" s="55"/>
    </row>
    <row r="455" spans="1:1" ht="15.75" customHeight="1">
      <c r="A455" s="55"/>
    </row>
    <row r="456" spans="1:1" ht="15.75" customHeight="1">
      <c r="A456" s="55"/>
    </row>
    <row r="457" spans="1:1" ht="15.75" customHeight="1">
      <c r="A457" s="55"/>
    </row>
    <row r="458" spans="1:1" ht="15.75" customHeight="1">
      <c r="A458" s="55"/>
    </row>
    <row r="459" spans="1:1" ht="15.75" customHeight="1">
      <c r="A459" s="55"/>
    </row>
    <row r="460" spans="1:1" ht="15.75" customHeight="1">
      <c r="A460" s="55"/>
    </row>
    <row r="461" spans="1:1" ht="15.75" customHeight="1">
      <c r="A461" s="55"/>
    </row>
    <row r="462" spans="1:1" ht="15.75" customHeight="1">
      <c r="A462" s="55"/>
    </row>
    <row r="463" spans="1:1" ht="15.75" customHeight="1">
      <c r="A463" s="55"/>
    </row>
    <row r="464" spans="1:1" ht="15.75" customHeight="1">
      <c r="A464" s="55"/>
    </row>
    <row r="465" spans="1:1" ht="15.75" customHeight="1">
      <c r="A465" s="55"/>
    </row>
    <row r="466" spans="1:1" ht="15.75" customHeight="1">
      <c r="A466" s="55"/>
    </row>
    <row r="467" spans="1:1" ht="15.75" customHeight="1">
      <c r="A467" s="55"/>
    </row>
    <row r="468" spans="1:1" ht="15.75" customHeight="1">
      <c r="A468" s="55"/>
    </row>
    <row r="469" spans="1:1" ht="15.75" customHeight="1">
      <c r="A469" s="55"/>
    </row>
    <row r="470" spans="1:1" ht="15.75" customHeight="1">
      <c r="A470" s="55"/>
    </row>
    <row r="471" spans="1:1" ht="15.75" customHeight="1">
      <c r="A471" s="55"/>
    </row>
    <row r="472" spans="1:1" ht="15.75" customHeight="1">
      <c r="A472" s="55"/>
    </row>
    <row r="473" spans="1:1" ht="15.75" customHeight="1">
      <c r="A473" s="55"/>
    </row>
    <row r="474" spans="1:1" ht="15.75" customHeight="1">
      <c r="A474" s="55"/>
    </row>
    <row r="475" spans="1:1" ht="15.75" customHeight="1">
      <c r="A475" s="55"/>
    </row>
    <row r="476" spans="1:1" ht="15.75" customHeight="1">
      <c r="A476" s="55"/>
    </row>
    <row r="477" spans="1:1" ht="15.75" customHeight="1">
      <c r="A477" s="55"/>
    </row>
    <row r="478" spans="1:1" ht="15.75" customHeight="1">
      <c r="A478" s="55"/>
    </row>
    <row r="479" spans="1:1" ht="15.75" customHeight="1">
      <c r="A479" s="55"/>
    </row>
    <row r="480" spans="1:1" ht="15.75" customHeight="1">
      <c r="A480" s="55"/>
    </row>
    <row r="481" spans="1:1" ht="15.75" customHeight="1">
      <c r="A481" s="55"/>
    </row>
    <row r="482" spans="1:1" ht="15.75" customHeight="1">
      <c r="A482" s="55"/>
    </row>
    <row r="483" spans="1:1" ht="15.75" customHeight="1">
      <c r="A483" s="55"/>
    </row>
    <row r="484" spans="1:1" ht="15.75" customHeight="1">
      <c r="A484" s="55"/>
    </row>
    <row r="485" spans="1:1" ht="15.75" customHeight="1">
      <c r="A485" s="55"/>
    </row>
    <row r="486" spans="1:1" ht="15.75" customHeight="1">
      <c r="A486" s="55"/>
    </row>
    <row r="487" spans="1:1" ht="15.75" customHeight="1">
      <c r="A487" s="55"/>
    </row>
    <row r="488" spans="1:1" ht="15.75" customHeight="1">
      <c r="A488" s="55"/>
    </row>
    <row r="489" spans="1:1" ht="15.75" customHeight="1">
      <c r="A489" s="55"/>
    </row>
    <row r="490" spans="1:1" ht="15.75" customHeight="1">
      <c r="A490" s="55"/>
    </row>
    <row r="491" spans="1:1" ht="15.75" customHeight="1">
      <c r="A491" s="55"/>
    </row>
    <row r="492" spans="1:1" ht="15.75" customHeight="1">
      <c r="A492" s="55"/>
    </row>
    <row r="493" spans="1:1" ht="15.75" customHeight="1">
      <c r="A493" s="55"/>
    </row>
    <row r="494" spans="1:1" ht="15.75" customHeight="1">
      <c r="A494" s="55"/>
    </row>
    <row r="495" spans="1:1" ht="15.75" customHeight="1">
      <c r="A495" s="55"/>
    </row>
    <row r="496" spans="1:1" ht="15.75" customHeight="1">
      <c r="A496" s="55"/>
    </row>
    <row r="497" spans="1:1" ht="15.75" customHeight="1">
      <c r="A497" s="55"/>
    </row>
    <row r="498" spans="1:1" ht="15.75" customHeight="1">
      <c r="A498" s="55"/>
    </row>
    <row r="499" spans="1:1" ht="15.75" customHeight="1">
      <c r="A499" s="55"/>
    </row>
    <row r="500" spans="1:1" ht="15.75" customHeight="1">
      <c r="A500" s="55"/>
    </row>
    <row r="501" spans="1:1" ht="15.75" customHeight="1">
      <c r="A501" s="55"/>
    </row>
    <row r="502" spans="1:1" ht="15.75" customHeight="1">
      <c r="A502" s="55"/>
    </row>
    <row r="503" spans="1:1" ht="15.75" customHeight="1">
      <c r="A503" s="55"/>
    </row>
    <row r="504" spans="1:1" ht="15.75" customHeight="1">
      <c r="A504" s="55"/>
    </row>
    <row r="505" spans="1:1" ht="15.75" customHeight="1">
      <c r="A505" s="55"/>
    </row>
    <row r="506" spans="1:1" ht="15.75" customHeight="1">
      <c r="A506" s="55"/>
    </row>
    <row r="507" spans="1:1" ht="15.75" customHeight="1">
      <c r="A507" s="55"/>
    </row>
    <row r="508" spans="1:1" ht="15.75" customHeight="1">
      <c r="A508" s="55"/>
    </row>
    <row r="509" spans="1:1" ht="15.75" customHeight="1">
      <c r="A509" s="55"/>
    </row>
    <row r="510" spans="1:1" ht="15.75" customHeight="1">
      <c r="A510" s="55"/>
    </row>
    <row r="511" spans="1:1" ht="15.75" customHeight="1">
      <c r="A511" s="55"/>
    </row>
    <row r="512" spans="1:1" ht="15.75" customHeight="1">
      <c r="A512" s="55"/>
    </row>
    <row r="513" spans="1:1" ht="15.75" customHeight="1">
      <c r="A513" s="55"/>
    </row>
    <row r="514" spans="1:1" ht="15.75" customHeight="1">
      <c r="A514" s="55"/>
    </row>
    <row r="515" spans="1:1" ht="15.75" customHeight="1">
      <c r="A515" s="55"/>
    </row>
    <row r="516" spans="1:1" ht="15.75" customHeight="1">
      <c r="A516" s="55"/>
    </row>
    <row r="517" spans="1:1" ht="15.75" customHeight="1">
      <c r="A517" s="55"/>
    </row>
    <row r="518" spans="1:1" ht="15.75" customHeight="1">
      <c r="A518" s="55"/>
    </row>
    <row r="519" spans="1:1" ht="15.75" customHeight="1">
      <c r="A519" s="55"/>
    </row>
    <row r="520" spans="1:1" ht="15.75" customHeight="1">
      <c r="A520" s="55"/>
    </row>
    <row r="521" spans="1:1" ht="15.75" customHeight="1">
      <c r="A521" s="55"/>
    </row>
    <row r="522" spans="1:1" ht="15.75" customHeight="1">
      <c r="A522" s="55"/>
    </row>
    <row r="523" spans="1:1" ht="15.75" customHeight="1">
      <c r="A523" s="55"/>
    </row>
    <row r="524" spans="1:1" ht="15.75" customHeight="1">
      <c r="A524" s="55"/>
    </row>
    <row r="525" spans="1:1" ht="15.75" customHeight="1">
      <c r="A525" s="55"/>
    </row>
    <row r="526" spans="1:1" ht="15.75" customHeight="1">
      <c r="A526" s="55"/>
    </row>
    <row r="527" spans="1:1" ht="15.75" customHeight="1">
      <c r="A527" s="55"/>
    </row>
    <row r="528" spans="1:1" ht="15.75" customHeight="1">
      <c r="A528" s="55"/>
    </row>
    <row r="529" spans="1:1" ht="15.75" customHeight="1">
      <c r="A529" s="55"/>
    </row>
    <row r="530" spans="1:1" ht="15.75" customHeight="1">
      <c r="A530" s="55"/>
    </row>
    <row r="531" spans="1:1" ht="15.75" customHeight="1">
      <c r="A531" s="55"/>
    </row>
    <row r="532" spans="1:1" ht="15.75" customHeight="1">
      <c r="A532" s="55"/>
    </row>
    <row r="533" spans="1:1" ht="15.75" customHeight="1">
      <c r="A533" s="55"/>
    </row>
    <row r="534" spans="1:1" ht="15.75" customHeight="1">
      <c r="A534" s="55"/>
    </row>
    <row r="535" spans="1:1" ht="15.75" customHeight="1">
      <c r="A535" s="55"/>
    </row>
    <row r="536" spans="1:1" ht="15.75" customHeight="1">
      <c r="A536" s="55"/>
    </row>
    <row r="537" spans="1:1" ht="15.75" customHeight="1">
      <c r="A537" s="55"/>
    </row>
    <row r="538" spans="1:1" ht="15.75" customHeight="1">
      <c r="A538" s="55"/>
    </row>
    <row r="539" spans="1:1" ht="15.75" customHeight="1">
      <c r="A539" s="55"/>
    </row>
    <row r="540" spans="1:1" ht="15.75" customHeight="1">
      <c r="A540" s="55"/>
    </row>
    <row r="541" spans="1:1" ht="15.75" customHeight="1">
      <c r="A541" s="55"/>
    </row>
    <row r="542" spans="1:1" ht="15.75" customHeight="1">
      <c r="A542" s="55"/>
    </row>
    <row r="543" spans="1:1" ht="15.75" customHeight="1">
      <c r="A543" s="55"/>
    </row>
    <row r="544" spans="1:1" ht="15.75" customHeight="1">
      <c r="A544" s="55"/>
    </row>
    <row r="545" spans="1:1" ht="15.75" customHeight="1">
      <c r="A545" s="55"/>
    </row>
    <row r="546" spans="1:1" ht="15.75" customHeight="1">
      <c r="A546" s="55"/>
    </row>
    <row r="547" spans="1:1" ht="15.75" customHeight="1">
      <c r="A547" s="55"/>
    </row>
    <row r="548" spans="1:1" ht="15.75" customHeight="1">
      <c r="A548" s="55"/>
    </row>
    <row r="549" spans="1:1" ht="15.75" customHeight="1">
      <c r="A549" s="55"/>
    </row>
    <row r="550" spans="1:1" ht="15.75" customHeight="1">
      <c r="A550" s="55"/>
    </row>
    <row r="551" spans="1:1" ht="15.75" customHeight="1">
      <c r="A551" s="55"/>
    </row>
    <row r="552" spans="1:1" ht="15.75" customHeight="1">
      <c r="A552" s="55"/>
    </row>
    <row r="553" spans="1:1" ht="15.75" customHeight="1">
      <c r="A553" s="55"/>
    </row>
    <row r="554" spans="1:1" ht="15.75" customHeight="1">
      <c r="A554" s="55"/>
    </row>
    <row r="555" spans="1:1" ht="15.75" customHeight="1">
      <c r="A555" s="55"/>
    </row>
    <row r="556" spans="1:1" ht="15.75" customHeight="1">
      <c r="A556" s="55"/>
    </row>
    <row r="557" spans="1:1" ht="15.75" customHeight="1">
      <c r="A557" s="55"/>
    </row>
    <row r="558" spans="1:1" ht="15.75" customHeight="1">
      <c r="A558" s="55"/>
    </row>
    <row r="559" spans="1:1" ht="15.75" customHeight="1">
      <c r="A559" s="55"/>
    </row>
    <row r="560" spans="1:1" ht="15.75" customHeight="1">
      <c r="A560" s="55"/>
    </row>
    <row r="561" spans="1:1" ht="15.75" customHeight="1">
      <c r="A561" s="55"/>
    </row>
    <row r="562" spans="1:1" ht="15.75" customHeight="1">
      <c r="A562" s="55"/>
    </row>
    <row r="563" spans="1:1" ht="15.75" customHeight="1">
      <c r="A563" s="55"/>
    </row>
    <row r="564" spans="1:1" ht="15.75" customHeight="1">
      <c r="A564" s="55"/>
    </row>
    <row r="565" spans="1:1" ht="15.75" customHeight="1">
      <c r="A565" s="55"/>
    </row>
    <row r="566" spans="1:1" ht="15.75" customHeight="1">
      <c r="A566" s="55"/>
    </row>
    <row r="567" spans="1:1" ht="15.75" customHeight="1">
      <c r="A567" s="55"/>
    </row>
    <row r="568" spans="1:1" ht="15.75" customHeight="1">
      <c r="A568" s="55"/>
    </row>
    <row r="569" spans="1:1" ht="15.75" customHeight="1">
      <c r="A569" s="55"/>
    </row>
    <row r="570" spans="1:1" ht="15.75" customHeight="1">
      <c r="A570" s="55"/>
    </row>
    <row r="571" spans="1:1" ht="15.75" customHeight="1">
      <c r="A571" s="55"/>
    </row>
    <row r="572" spans="1:1" ht="15.75" customHeight="1">
      <c r="A572" s="55"/>
    </row>
    <row r="573" spans="1:1" ht="15.75" customHeight="1">
      <c r="A573" s="55"/>
    </row>
    <row r="574" spans="1:1" ht="15.75" customHeight="1">
      <c r="A574" s="55"/>
    </row>
    <row r="575" spans="1:1" ht="15.75" customHeight="1">
      <c r="A575" s="55"/>
    </row>
    <row r="576" spans="1:1" ht="15.75" customHeight="1">
      <c r="A576" s="55"/>
    </row>
    <row r="577" spans="1:1" ht="15.75" customHeight="1">
      <c r="A577" s="55"/>
    </row>
    <row r="578" spans="1:1" ht="15.75" customHeight="1">
      <c r="A578" s="55"/>
    </row>
    <row r="579" spans="1:1" ht="15.75" customHeight="1">
      <c r="A579" s="55"/>
    </row>
    <row r="580" spans="1:1" ht="15.75" customHeight="1">
      <c r="A580" s="55"/>
    </row>
    <row r="581" spans="1:1" ht="15.75" customHeight="1">
      <c r="A581" s="55"/>
    </row>
    <row r="582" spans="1:1" ht="15.75" customHeight="1">
      <c r="A582" s="55"/>
    </row>
    <row r="583" spans="1:1" ht="15.75" customHeight="1">
      <c r="A583" s="55"/>
    </row>
    <row r="584" spans="1:1" ht="15.75" customHeight="1">
      <c r="A584" s="55"/>
    </row>
    <row r="585" spans="1:1" ht="15.75" customHeight="1">
      <c r="A585" s="55"/>
    </row>
    <row r="586" spans="1:1" ht="15.75" customHeight="1">
      <c r="A586" s="55"/>
    </row>
    <row r="587" spans="1:1" ht="15.75" customHeight="1">
      <c r="A587" s="55"/>
    </row>
    <row r="588" spans="1:1" ht="15.75" customHeight="1">
      <c r="A588" s="55"/>
    </row>
    <row r="589" spans="1:1" ht="15.75" customHeight="1">
      <c r="A589" s="55"/>
    </row>
    <row r="590" spans="1:1" ht="15.75" customHeight="1">
      <c r="A590" s="55"/>
    </row>
    <row r="591" spans="1:1" ht="15.75" customHeight="1">
      <c r="A591" s="55"/>
    </row>
    <row r="592" spans="1:1" ht="15.75" customHeight="1">
      <c r="A592" s="55"/>
    </row>
    <row r="593" spans="1:1" ht="15.75" customHeight="1">
      <c r="A593" s="55"/>
    </row>
    <row r="594" spans="1:1" ht="15.75" customHeight="1">
      <c r="A594" s="55"/>
    </row>
    <row r="595" spans="1:1" ht="15.75" customHeight="1">
      <c r="A595" s="55"/>
    </row>
    <row r="596" spans="1:1" ht="15.75" customHeight="1">
      <c r="A596" s="55"/>
    </row>
    <row r="597" spans="1:1" ht="15.75" customHeight="1">
      <c r="A597" s="55"/>
    </row>
    <row r="598" spans="1:1" ht="15.75" customHeight="1">
      <c r="A598" s="55"/>
    </row>
    <row r="599" spans="1:1" ht="15.75" customHeight="1">
      <c r="A599" s="55"/>
    </row>
    <row r="600" spans="1:1" ht="15.75" customHeight="1">
      <c r="A600" s="55"/>
    </row>
    <row r="601" spans="1:1" ht="15.75" customHeight="1">
      <c r="A601" s="55"/>
    </row>
    <row r="602" spans="1:1" ht="15.75" customHeight="1">
      <c r="A602" s="55"/>
    </row>
    <row r="603" spans="1:1" ht="15.75" customHeight="1">
      <c r="A603" s="55"/>
    </row>
    <row r="604" spans="1:1" ht="15.75" customHeight="1">
      <c r="A604" s="55"/>
    </row>
    <row r="605" spans="1:1" ht="15.75" customHeight="1">
      <c r="A605" s="55"/>
    </row>
    <row r="606" spans="1:1" ht="15.75" customHeight="1">
      <c r="A606" s="55"/>
    </row>
    <row r="607" spans="1:1" ht="15.75" customHeight="1">
      <c r="A607" s="55"/>
    </row>
    <row r="608" spans="1:1" ht="15.75" customHeight="1">
      <c r="A608" s="55"/>
    </row>
    <row r="609" spans="1:1" ht="15.75" customHeight="1">
      <c r="A609" s="55"/>
    </row>
    <row r="610" spans="1:1" ht="15.75" customHeight="1">
      <c r="A610" s="55"/>
    </row>
    <row r="611" spans="1:1" ht="15.75" customHeight="1">
      <c r="A611" s="55"/>
    </row>
    <row r="612" spans="1:1" ht="15.75" customHeight="1">
      <c r="A612" s="55"/>
    </row>
    <row r="613" spans="1:1" ht="15.75" customHeight="1">
      <c r="A613" s="55"/>
    </row>
    <row r="614" spans="1:1" ht="15.75" customHeight="1">
      <c r="A614" s="55"/>
    </row>
    <row r="615" spans="1:1" ht="15.75" customHeight="1">
      <c r="A615" s="55"/>
    </row>
    <row r="616" spans="1:1" ht="15.75" customHeight="1">
      <c r="A616" s="55"/>
    </row>
    <row r="617" spans="1:1" ht="15.75" customHeight="1">
      <c r="A617" s="55"/>
    </row>
    <row r="618" spans="1:1" ht="15.75" customHeight="1">
      <c r="A618" s="55"/>
    </row>
    <row r="619" spans="1:1" ht="15.75" customHeight="1">
      <c r="A619" s="55"/>
    </row>
    <row r="620" spans="1:1" ht="15.75" customHeight="1">
      <c r="A620" s="55"/>
    </row>
    <row r="621" spans="1:1" ht="15.75" customHeight="1">
      <c r="A621" s="55"/>
    </row>
    <row r="622" spans="1:1" ht="15.75" customHeight="1">
      <c r="A622" s="55"/>
    </row>
    <row r="623" spans="1:1" ht="15.75" customHeight="1">
      <c r="A623" s="55"/>
    </row>
    <row r="624" spans="1:1" ht="15.75" customHeight="1">
      <c r="A624" s="55"/>
    </row>
    <row r="625" spans="1:1" ht="15.75" customHeight="1">
      <c r="A625" s="55"/>
    </row>
    <row r="626" spans="1:1" ht="15.75" customHeight="1">
      <c r="A626" s="55"/>
    </row>
    <row r="627" spans="1:1" ht="15.75" customHeight="1">
      <c r="A627" s="55"/>
    </row>
    <row r="628" spans="1:1" ht="15.75" customHeight="1">
      <c r="A628" s="55"/>
    </row>
    <row r="629" spans="1:1" ht="15.75" customHeight="1">
      <c r="A629" s="55"/>
    </row>
    <row r="630" spans="1:1" ht="15.75" customHeight="1">
      <c r="A630" s="55"/>
    </row>
    <row r="631" spans="1:1" ht="15.75" customHeight="1">
      <c r="A631" s="55"/>
    </row>
    <row r="632" spans="1:1" ht="15.75" customHeight="1">
      <c r="A632" s="55"/>
    </row>
    <row r="633" spans="1:1" ht="15.75" customHeight="1">
      <c r="A633" s="55"/>
    </row>
    <row r="634" spans="1:1" ht="15.75" customHeight="1">
      <c r="A634" s="55"/>
    </row>
    <row r="635" spans="1:1" ht="15.75" customHeight="1">
      <c r="A635" s="55"/>
    </row>
    <row r="636" spans="1:1" ht="15.75" customHeight="1">
      <c r="A636" s="55"/>
    </row>
    <row r="637" spans="1:1" ht="15.75" customHeight="1">
      <c r="A637" s="55"/>
    </row>
    <row r="638" spans="1:1" ht="15.75" customHeight="1">
      <c r="A638" s="55"/>
    </row>
    <row r="639" spans="1:1" ht="15.75" customHeight="1">
      <c r="A639" s="55"/>
    </row>
    <row r="640" spans="1:1" ht="15.75" customHeight="1">
      <c r="A640" s="55"/>
    </row>
    <row r="641" spans="1:1" ht="15.75" customHeight="1">
      <c r="A641" s="55"/>
    </row>
    <row r="642" spans="1:1" ht="15.75" customHeight="1">
      <c r="A642" s="55"/>
    </row>
    <row r="643" spans="1:1" ht="15.75" customHeight="1">
      <c r="A643" s="55"/>
    </row>
    <row r="644" spans="1:1" ht="15.75" customHeight="1">
      <c r="A644" s="55"/>
    </row>
    <row r="645" spans="1:1" ht="15.75" customHeight="1">
      <c r="A645" s="55"/>
    </row>
    <row r="646" spans="1:1" ht="15.75" customHeight="1">
      <c r="A646" s="55"/>
    </row>
    <row r="647" spans="1:1" ht="15.75" customHeight="1">
      <c r="A647" s="55"/>
    </row>
    <row r="648" spans="1:1" ht="15.75" customHeight="1">
      <c r="A648" s="55"/>
    </row>
    <row r="649" spans="1:1" ht="15.75" customHeight="1">
      <c r="A649" s="55"/>
    </row>
    <row r="650" spans="1:1" ht="15.75" customHeight="1">
      <c r="A650" s="55"/>
    </row>
    <row r="651" spans="1:1" ht="15.75" customHeight="1">
      <c r="A651" s="55"/>
    </row>
    <row r="652" spans="1:1" ht="15.75" customHeight="1">
      <c r="A652" s="55"/>
    </row>
    <row r="653" spans="1:1" ht="15.75" customHeight="1">
      <c r="A653" s="55"/>
    </row>
    <row r="654" spans="1:1" ht="15.75" customHeight="1">
      <c r="A654" s="55"/>
    </row>
    <row r="655" spans="1:1" ht="15.75" customHeight="1">
      <c r="A655" s="55"/>
    </row>
    <row r="656" spans="1:1" ht="15.75" customHeight="1">
      <c r="A656" s="55"/>
    </row>
    <row r="657" spans="1:1" ht="15.75" customHeight="1">
      <c r="A657" s="55"/>
    </row>
    <row r="658" spans="1:1" ht="15.75" customHeight="1">
      <c r="A658" s="55"/>
    </row>
    <row r="659" spans="1:1" ht="15.75" customHeight="1">
      <c r="A659" s="55"/>
    </row>
    <row r="660" spans="1:1" ht="15.75" customHeight="1">
      <c r="A660" s="55"/>
    </row>
    <row r="661" spans="1:1" ht="15.75" customHeight="1">
      <c r="A661" s="55"/>
    </row>
    <row r="662" spans="1:1" ht="15.75" customHeight="1">
      <c r="A662" s="55"/>
    </row>
    <row r="663" spans="1:1" ht="15.75" customHeight="1">
      <c r="A663" s="55"/>
    </row>
    <row r="664" spans="1:1" ht="15.75" customHeight="1">
      <c r="A664" s="55"/>
    </row>
    <row r="665" spans="1:1" ht="15.75" customHeight="1">
      <c r="A665" s="55"/>
    </row>
    <row r="666" spans="1:1" ht="15.75" customHeight="1">
      <c r="A666" s="55"/>
    </row>
    <row r="667" spans="1:1" ht="15.75" customHeight="1">
      <c r="A667" s="55"/>
    </row>
    <row r="668" spans="1:1" ht="15.75" customHeight="1">
      <c r="A668" s="55"/>
    </row>
    <row r="669" spans="1:1" ht="15.75" customHeight="1">
      <c r="A669" s="55"/>
    </row>
    <row r="670" spans="1:1" ht="15.75" customHeight="1">
      <c r="A670" s="55"/>
    </row>
    <row r="671" spans="1:1" ht="15.75" customHeight="1">
      <c r="A671" s="55"/>
    </row>
    <row r="672" spans="1:1" ht="15.75" customHeight="1">
      <c r="A672" s="55"/>
    </row>
    <row r="673" spans="1:1" ht="15.75" customHeight="1">
      <c r="A673" s="55"/>
    </row>
    <row r="674" spans="1:1" ht="15.75" customHeight="1">
      <c r="A674" s="55"/>
    </row>
    <row r="675" spans="1:1" ht="15.75" customHeight="1">
      <c r="A675" s="55"/>
    </row>
    <row r="676" spans="1:1" ht="15.75" customHeight="1">
      <c r="A676" s="55"/>
    </row>
    <row r="677" spans="1:1" ht="15.75" customHeight="1">
      <c r="A677" s="55"/>
    </row>
    <row r="678" spans="1:1" ht="15.75" customHeight="1">
      <c r="A678" s="55"/>
    </row>
    <row r="679" spans="1:1" ht="15.75" customHeight="1">
      <c r="A679" s="55"/>
    </row>
    <row r="680" spans="1:1" ht="15.75" customHeight="1">
      <c r="A680" s="55"/>
    </row>
    <row r="681" spans="1:1" ht="15.75" customHeight="1">
      <c r="A681" s="55"/>
    </row>
    <row r="682" spans="1:1" ht="15.75" customHeight="1">
      <c r="A682" s="55"/>
    </row>
    <row r="683" spans="1:1" ht="15.75" customHeight="1">
      <c r="A683" s="55"/>
    </row>
    <row r="684" spans="1:1" ht="15.75" customHeight="1">
      <c r="A684" s="55"/>
    </row>
    <row r="685" spans="1:1" ht="15.75" customHeight="1">
      <c r="A685" s="55"/>
    </row>
    <row r="686" spans="1:1" ht="15.75" customHeight="1">
      <c r="A686" s="55"/>
    </row>
    <row r="687" spans="1:1" ht="15.75" customHeight="1">
      <c r="A687" s="55"/>
    </row>
    <row r="688" spans="1:1" ht="15.75" customHeight="1">
      <c r="A688" s="55"/>
    </row>
    <row r="689" spans="1:1" ht="15.75" customHeight="1">
      <c r="A689" s="55"/>
    </row>
    <row r="690" spans="1:1" ht="15.75" customHeight="1">
      <c r="A690" s="55"/>
    </row>
    <row r="691" spans="1:1" ht="15.75" customHeight="1">
      <c r="A691" s="55"/>
    </row>
    <row r="692" spans="1:1" ht="15.75" customHeight="1">
      <c r="A692" s="55"/>
    </row>
    <row r="693" spans="1:1" ht="15.75" customHeight="1">
      <c r="A693" s="55"/>
    </row>
    <row r="694" spans="1:1" ht="15.75" customHeight="1">
      <c r="A694" s="55"/>
    </row>
    <row r="695" spans="1:1" ht="15.75" customHeight="1">
      <c r="A695" s="55"/>
    </row>
    <row r="696" spans="1:1" ht="15.75" customHeight="1">
      <c r="A696" s="55"/>
    </row>
    <row r="697" spans="1:1" ht="15.75" customHeight="1">
      <c r="A697" s="55"/>
    </row>
    <row r="698" spans="1:1" ht="15.75" customHeight="1">
      <c r="A698" s="55"/>
    </row>
    <row r="699" spans="1:1" ht="15.75" customHeight="1">
      <c r="A699" s="55"/>
    </row>
    <row r="700" spans="1:1" ht="15.75" customHeight="1">
      <c r="A700" s="55"/>
    </row>
    <row r="701" spans="1:1" ht="15.75" customHeight="1">
      <c r="A701" s="55"/>
    </row>
    <row r="702" spans="1:1" ht="15.75" customHeight="1">
      <c r="A702" s="55"/>
    </row>
    <row r="703" spans="1:1" ht="15.75" customHeight="1">
      <c r="A703" s="55"/>
    </row>
    <row r="704" spans="1:1" ht="15.75" customHeight="1">
      <c r="A704" s="55"/>
    </row>
    <row r="705" spans="1:1" ht="15.75" customHeight="1">
      <c r="A705" s="55"/>
    </row>
    <row r="706" spans="1:1" ht="15.75" customHeight="1">
      <c r="A706" s="55"/>
    </row>
    <row r="707" spans="1:1" ht="15.75" customHeight="1">
      <c r="A707" s="55"/>
    </row>
    <row r="708" spans="1:1" ht="15.75" customHeight="1">
      <c r="A708" s="55"/>
    </row>
    <row r="709" spans="1:1" ht="15.75" customHeight="1">
      <c r="A709" s="55"/>
    </row>
    <row r="710" spans="1:1" ht="15.75" customHeight="1">
      <c r="A710" s="55"/>
    </row>
    <row r="711" spans="1:1" ht="15.75" customHeight="1">
      <c r="A711" s="55"/>
    </row>
    <row r="712" spans="1:1" ht="15.75" customHeight="1">
      <c r="A712" s="55"/>
    </row>
    <row r="713" spans="1:1" ht="15.75" customHeight="1">
      <c r="A713" s="55"/>
    </row>
    <row r="714" spans="1:1" ht="15.75" customHeight="1">
      <c r="A714" s="55"/>
    </row>
    <row r="715" spans="1:1" ht="15.75" customHeight="1">
      <c r="A715" s="55"/>
    </row>
    <row r="716" spans="1:1" ht="15.75" customHeight="1">
      <c r="A716" s="55"/>
    </row>
    <row r="717" spans="1:1" ht="15.75" customHeight="1">
      <c r="A717" s="55"/>
    </row>
    <row r="718" spans="1:1" ht="15.75" customHeight="1">
      <c r="A718" s="55"/>
    </row>
    <row r="719" spans="1:1" ht="15.75" customHeight="1">
      <c r="A719" s="55"/>
    </row>
    <row r="720" spans="1:1" ht="15.75" customHeight="1">
      <c r="A720" s="55"/>
    </row>
    <row r="721" spans="1:1" ht="15.75" customHeight="1">
      <c r="A721" s="55"/>
    </row>
    <row r="722" spans="1:1" ht="15.75" customHeight="1">
      <c r="A722" s="55"/>
    </row>
    <row r="723" spans="1:1" ht="15.75" customHeight="1">
      <c r="A723" s="55"/>
    </row>
    <row r="724" spans="1:1" ht="15.75" customHeight="1">
      <c r="A724" s="55"/>
    </row>
    <row r="725" spans="1:1" ht="15.75" customHeight="1">
      <c r="A725" s="55"/>
    </row>
    <row r="726" spans="1:1" ht="15.75" customHeight="1">
      <c r="A726" s="55"/>
    </row>
    <row r="727" spans="1:1" ht="15.75" customHeight="1">
      <c r="A727" s="55"/>
    </row>
    <row r="728" spans="1:1" ht="15.75" customHeight="1">
      <c r="A728" s="55"/>
    </row>
    <row r="729" spans="1:1" ht="15.75" customHeight="1">
      <c r="A729" s="55"/>
    </row>
    <row r="730" spans="1:1" ht="15.75" customHeight="1">
      <c r="A730" s="55"/>
    </row>
    <row r="731" spans="1:1" ht="15.75" customHeight="1">
      <c r="A731" s="55"/>
    </row>
    <row r="732" spans="1:1" ht="15.75" customHeight="1">
      <c r="A732" s="55"/>
    </row>
    <row r="733" spans="1:1" ht="15.75" customHeight="1">
      <c r="A733" s="55"/>
    </row>
    <row r="734" spans="1:1" ht="15.75" customHeight="1">
      <c r="A734" s="55"/>
    </row>
    <row r="735" spans="1:1" ht="15.75" customHeight="1">
      <c r="A735" s="55"/>
    </row>
    <row r="736" spans="1:1" ht="15.75" customHeight="1">
      <c r="A736" s="55"/>
    </row>
    <row r="737" spans="1:1" ht="15.75" customHeight="1">
      <c r="A737" s="55"/>
    </row>
    <row r="738" spans="1:1" ht="15.75" customHeight="1">
      <c r="A738" s="55"/>
    </row>
    <row r="739" spans="1:1" ht="15.75" customHeight="1">
      <c r="A739" s="55"/>
    </row>
    <row r="740" spans="1:1" ht="15.75" customHeight="1">
      <c r="A740" s="55"/>
    </row>
    <row r="741" spans="1:1" ht="15.75" customHeight="1">
      <c r="A741" s="55"/>
    </row>
    <row r="742" spans="1:1" ht="15.75" customHeight="1">
      <c r="A742" s="55"/>
    </row>
    <row r="743" spans="1:1" ht="15.75" customHeight="1">
      <c r="A743" s="55"/>
    </row>
    <row r="744" spans="1:1" ht="15.75" customHeight="1">
      <c r="A744" s="55"/>
    </row>
    <row r="745" spans="1:1" ht="15.75" customHeight="1">
      <c r="A745" s="55"/>
    </row>
    <row r="746" spans="1:1" ht="15.75" customHeight="1">
      <c r="A746" s="55"/>
    </row>
    <row r="747" spans="1:1" ht="15.75" customHeight="1">
      <c r="A747" s="55"/>
    </row>
    <row r="748" spans="1:1" ht="15.75" customHeight="1">
      <c r="A748" s="55"/>
    </row>
    <row r="749" spans="1:1" ht="15.75" customHeight="1">
      <c r="A749" s="55"/>
    </row>
    <row r="750" spans="1:1" ht="15.75" customHeight="1">
      <c r="A750" s="55"/>
    </row>
    <row r="751" spans="1:1" ht="15.75" customHeight="1">
      <c r="A751" s="55"/>
    </row>
    <row r="752" spans="1:1" ht="15.75" customHeight="1">
      <c r="A752" s="55"/>
    </row>
    <row r="753" spans="1:1" ht="15.75" customHeight="1">
      <c r="A753" s="55"/>
    </row>
    <row r="754" spans="1:1" ht="15.75" customHeight="1">
      <c r="A754" s="55"/>
    </row>
    <row r="755" spans="1:1" ht="15.75" customHeight="1">
      <c r="A755" s="55"/>
    </row>
    <row r="756" spans="1:1" ht="15.75" customHeight="1">
      <c r="A756" s="55"/>
    </row>
    <row r="757" spans="1:1" ht="15.75" customHeight="1">
      <c r="A757" s="55"/>
    </row>
    <row r="758" spans="1:1" ht="15.75" customHeight="1">
      <c r="A758" s="55"/>
    </row>
    <row r="759" spans="1:1" ht="15.75" customHeight="1">
      <c r="A759" s="55"/>
    </row>
    <row r="760" spans="1:1" ht="15.75" customHeight="1">
      <c r="A760" s="55"/>
    </row>
    <row r="761" spans="1:1" ht="15.75" customHeight="1">
      <c r="A761" s="55"/>
    </row>
    <row r="762" spans="1:1" ht="15.75" customHeight="1">
      <c r="A762" s="55"/>
    </row>
    <row r="763" spans="1:1" ht="15.75" customHeight="1">
      <c r="A763" s="55"/>
    </row>
    <row r="764" spans="1:1" ht="15.75" customHeight="1">
      <c r="A764" s="55"/>
    </row>
    <row r="765" spans="1:1" ht="15.75" customHeight="1">
      <c r="A765" s="55"/>
    </row>
    <row r="766" spans="1:1" ht="15.75" customHeight="1">
      <c r="A766" s="55"/>
    </row>
    <row r="767" spans="1:1" ht="15.75" customHeight="1">
      <c r="A767" s="55"/>
    </row>
    <row r="768" spans="1:1" ht="15.75" customHeight="1">
      <c r="A768" s="55"/>
    </row>
    <row r="769" spans="1:1" ht="15.75" customHeight="1">
      <c r="A769" s="55"/>
    </row>
    <row r="770" spans="1:1" ht="15.75" customHeight="1">
      <c r="A770" s="55"/>
    </row>
    <row r="771" spans="1:1" ht="15.75" customHeight="1">
      <c r="A771" s="55"/>
    </row>
    <row r="772" spans="1:1" ht="15.75" customHeight="1">
      <c r="A772" s="55"/>
    </row>
    <row r="773" spans="1:1" ht="15.75" customHeight="1">
      <c r="A773" s="55"/>
    </row>
    <row r="774" spans="1:1" ht="15.75" customHeight="1">
      <c r="A774" s="55"/>
    </row>
    <row r="775" spans="1:1" ht="15.75" customHeight="1">
      <c r="A775" s="55"/>
    </row>
    <row r="776" spans="1:1" ht="15.75" customHeight="1">
      <c r="A776" s="55"/>
    </row>
    <row r="777" spans="1:1" ht="15.75" customHeight="1">
      <c r="A777" s="55"/>
    </row>
    <row r="778" spans="1:1" ht="15.75" customHeight="1">
      <c r="A778" s="55"/>
    </row>
    <row r="779" spans="1:1" ht="15.75" customHeight="1">
      <c r="A779" s="55"/>
    </row>
    <row r="780" spans="1:1" ht="15.75" customHeight="1">
      <c r="A780" s="55"/>
    </row>
    <row r="781" spans="1:1" ht="15.75" customHeight="1">
      <c r="A781" s="55"/>
    </row>
    <row r="782" spans="1:1" ht="15.75" customHeight="1">
      <c r="A782" s="55"/>
    </row>
    <row r="783" spans="1:1" ht="15.75" customHeight="1">
      <c r="A783" s="55"/>
    </row>
    <row r="784" spans="1:1" ht="15.75" customHeight="1">
      <c r="A784" s="55"/>
    </row>
    <row r="785" spans="1:1" ht="15.75" customHeight="1">
      <c r="A785" s="55"/>
    </row>
    <row r="786" spans="1:1" ht="15.75" customHeight="1">
      <c r="A786" s="55"/>
    </row>
    <row r="787" spans="1:1" ht="15.75" customHeight="1">
      <c r="A787" s="55"/>
    </row>
    <row r="788" spans="1:1" ht="15.75" customHeight="1">
      <c r="A788" s="55"/>
    </row>
    <row r="789" spans="1:1" ht="15.75" customHeight="1">
      <c r="A789" s="55"/>
    </row>
    <row r="790" spans="1:1" ht="15.75" customHeight="1">
      <c r="A790" s="55"/>
    </row>
    <row r="791" spans="1:1" ht="15.75" customHeight="1">
      <c r="A791" s="55"/>
    </row>
    <row r="792" spans="1:1" ht="15.75" customHeight="1">
      <c r="A792" s="55"/>
    </row>
    <row r="793" spans="1:1" ht="15.75" customHeight="1">
      <c r="A793" s="55"/>
    </row>
    <row r="794" spans="1:1" ht="15.75" customHeight="1">
      <c r="A794" s="55"/>
    </row>
    <row r="795" spans="1:1" ht="15.75" customHeight="1">
      <c r="A795" s="55"/>
    </row>
    <row r="796" spans="1:1" ht="15.75" customHeight="1">
      <c r="A796" s="55"/>
    </row>
    <row r="797" spans="1:1" ht="15.75" customHeight="1">
      <c r="A797" s="55"/>
    </row>
    <row r="798" spans="1:1" ht="15.75" customHeight="1">
      <c r="A798" s="55"/>
    </row>
    <row r="799" spans="1:1" ht="15.75" customHeight="1">
      <c r="A799" s="55"/>
    </row>
    <row r="800" spans="1:1" ht="15.75" customHeight="1">
      <c r="A800" s="55"/>
    </row>
    <row r="801" spans="1:1" ht="15.75" customHeight="1">
      <c r="A801" s="55"/>
    </row>
    <row r="802" spans="1:1" ht="15.75" customHeight="1">
      <c r="A802" s="55"/>
    </row>
    <row r="803" spans="1:1" ht="15.75" customHeight="1">
      <c r="A803" s="55"/>
    </row>
    <row r="804" spans="1:1" ht="15.75" customHeight="1">
      <c r="A804" s="55"/>
    </row>
    <row r="805" spans="1:1" ht="15.75" customHeight="1">
      <c r="A805" s="55"/>
    </row>
    <row r="806" spans="1:1" ht="15.75" customHeight="1">
      <c r="A806" s="55"/>
    </row>
    <row r="807" spans="1:1" ht="15.75" customHeight="1">
      <c r="A807" s="55"/>
    </row>
    <row r="808" spans="1:1" ht="15.75" customHeight="1">
      <c r="A808" s="55"/>
    </row>
    <row r="809" spans="1:1" ht="15.75" customHeight="1">
      <c r="A809" s="55"/>
    </row>
    <row r="810" spans="1:1" ht="15.75" customHeight="1">
      <c r="A810" s="55"/>
    </row>
    <row r="811" spans="1:1" ht="15.75" customHeight="1">
      <c r="A811" s="55"/>
    </row>
    <row r="812" spans="1:1" ht="15.75" customHeight="1">
      <c r="A812" s="55"/>
    </row>
    <row r="813" spans="1:1" ht="15.75" customHeight="1">
      <c r="A813" s="55"/>
    </row>
    <row r="814" spans="1:1" ht="15.75" customHeight="1">
      <c r="A814" s="55"/>
    </row>
    <row r="815" spans="1:1" ht="15.75" customHeight="1">
      <c r="A815" s="55"/>
    </row>
    <row r="816" spans="1:1" ht="15.75" customHeight="1">
      <c r="A816" s="55"/>
    </row>
    <row r="817" spans="1:1" ht="15.75" customHeight="1">
      <c r="A817" s="55"/>
    </row>
    <row r="818" spans="1:1" ht="15.75" customHeight="1">
      <c r="A818" s="55"/>
    </row>
    <row r="819" spans="1:1" ht="15.75" customHeight="1">
      <c r="A819" s="55"/>
    </row>
    <row r="820" spans="1:1" ht="15.75" customHeight="1">
      <c r="A820" s="55"/>
    </row>
    <row r="821" spans="1:1" ht="15.75" customHeight="1">
      <c r="A821" s="55"/>
    </row>
    <row r="822" spans="1:1" ht="15.75" customHeight="1">
      <c r="A822" s="55"/>
    </row>
    <row r="823" spans="1:1" ht="15.75" customHeight="1">
      <c r="A823" s="55"/>
    </row>
    <row r="824" spans="1:1" ht="15.75" customHeight="1">
      <c r="A824" s="55"/>
    </row>
    <row r="825" spans="1:1" ht="15.75" customHeight="1">
      <c r="A825" s="55"/>
    </row>
    <row r="826" spans="1:1" ht="15.75" customHeight="1">
      <c r="A826" s="55"/>
    </row>
    <row r="827" spans="1:1" ht="15.75" customHeight="1">
      <c r="A827" s="55"/>
    </row>
    <row r="828" spans="1:1" ht="15.75" customHeight="1">
      <c r="A828" s="55"/>
    </row>
    <row r="829" spans="1:1" ht="15.75" customHeight="1">
      <c r="A829" s="55"/>
    </row>
    <row r="830" spans="1:1" ht="15.75" customHeight="1">
      <c r="A830" s="55"/>
    </row>
    <row r="831" spans="1:1" ht="15.75" customHeight="1">
      <c r="A831" s="55"/>
    </row>
    <row r="832" spans="1:1" ht="15.75" customHeight="1">
      <c r="A832" s="55"/>
    </row>
    <row r="833" spans="1:1" ht="15.75" customHeight="1">
      <c r="A833" s="55"/>
    </row>
    <row r="834" spans="1:1" ht="15.75" customHeight="1">
      <c r="A834" s="55"/>
    </row>
    <row r="835" spans="1:1" ht="15.75" customHeight="1">
      <c r="A835" s="55"/>
    </row>
    <row r="836" spans="1:1" ht="15.75" customHeight="1">
      <c r="A836" s="55"/>
    </row>
    <row r="837" spans="1:1" ht="15.75" customHeight="1">
      <c r="A837" s="55"/>
    </row>
    <row r="838" spans="1:1" ht="15.75" customHeight="1">
      <c r="A838" s="55"/>
    </row>
    <row r="839" spans="1:1" ht="15.75" customHeight="1">
      <c r="A839" s="55"/>
    </row>
    <row r="840" spans="1:1" ht="15.75" customHeight="1">
      <c r="A840" s="55"/>
    </row>
    <row r="841" spans="1:1" ht="15.75" customHeight="1">
      <c r="A841" s="55"/>
    </row>
    <row r="842" spans="1:1" ht="15.75" customHeight="1">
      <c r="A842" s="55"/>
    </row>
    <row r="843" spans="1:1" ht="15.75" customHeight="1">
      <c r="A843" s="55"/>
    </row>
    <row r="844" spans="1:1" ht="15.75" customHeight="1">
      <c r="A844" s="55"/>
    </row>
    <row r="845" spans="1:1" ht="15.75" customHeight="1">
      <c r="A845" s="55"/>
    </row>
    <row r="846" spans="1:1" ht="15.75" customHeight="1">
      <c r="A846" s="55"/>
    </row>
    <row r="847" spans="1:1" ht="15.75" customHeight="1">
      <c r="A847" s="55"/>
    </row>
    <row r="848" spans="1:1" ht="15.75" customHeight="1">
      <c r="A848" s="55"/>
    </row>
    <row r="849" spans="1:1" ht="15.75" customHeight="1">
      <c r="A849" s="55"/>
    </row>
    <row r="850" spans="1:1" ht="15.75" customHeight="1">
      <c r="A850" s="55"/>
    </row>
    <row r="851" spans="1:1" ht="15.75" customHeight="1">
      <c r="A851" s="55"/>
    </row>
    <row r="852" spans="1:1" ht="15.75" customHeight="1">
      <c r="A852" s="55"/>
    </row>
    <row r="853" spans="1:1" ht="15.75" customHeight="1">
      <c r="A853" s="55"/>
    </row>
    <row r="854" spans="1:1" ht="15.75" customHeight="1">
      <c r="A854" s="55"/>
    </row>
    <row r="855" spans="1:1" ht="15.75" customHeight="1">
      <c r="A855" s="55"/>
    </row>
    <row r="856" spans="1:1" ht="15.75" customHeight="1">
      <c r="A856" s="55"/>
    </row>
    <row r="857" spans="1:1" ht="15.75" customHeight="1">
      <c r="A857" s="55"/>
    </row>
    <row r="858" spans="1:1" ht="15.75" customHeight="1">
      <c r="A858" s="55"/>
    </row>
    <row r="859" spans="1:1" ht="15.75" customHeight="1">
      <c r="A859" s="55"/>
    </row>
    <row r="860" spans="1:1" ht="15.75" customHeight="1">
      <c r="A860" s="55"/>
    </row>
    <row r="861" spans="1:1" ht="15.75" customHeight="1">
      <c r="A861" s="55"/>
    </row>
    <row r="862" spans="1:1" ht="15.75" customHeight="1">
      <c r="A862" s="55"/>
    </row>
    <row r="863" spans="1:1" ht="15.75" customHeight="1">
      <c r="A863" s="55"/>
    </row>
    <row r="864" spans="1:1" ht="15.75" customHeight="1">
      <c r="A864" s="55"/>
    </row>
    <row r="865" spans="1:1" ht="15.75" customHeight="1">
      <c r="A865" s="55"/>
    </row>
    <row r="866" spans="1:1" ht="15.75" customHeight="1">
      <c r="A866" s="55"/>
    </row>
    <row r="867" spans="1:1" ht="15.75" customHeight="1">
      <c r="A867" s="55"/>
    </row>
    <row r="868" spans="1:1" ht="15.75" customHeight="1">
      <c r="A868" s="55"/>
    </row>
    <row r="869" spans="1:1" ht="15.75" customHeight="1">
      <c r="A869" s="55"/>
    </row>
    <row r="870" spans="1:1" ht="15.75" customHeight="1">
      <c r="A870" s="55"/>
    </row>
    <row r="871" spans="1:1" ht="15.75" customHeight="1">
      <c r="A871" s="55"/>
    </row>
    <row r="872" spans="1:1" ht="15.75" customHeight="1">
      <c r="A872" s="55"/>
    </row>
    <row r="873" spans="1:1" ht="15.75" customHeight="1">
      <c r="A873" s="55"/>
    </row>
    <row r="874" spans="1:1" ht="15.75" customHeight="1">
      <c r="A874" s="55"/>
    </row>
    <row r="875" spans="1:1" ht="15.75" customHeight="1">
      <c r="A875" s="55"/>
    </row>
    <row r="876" spans="1:1" ht="15.75" customHeight="1">
      <c r="A876" s="55"/>
    </row>
    <row r="877" spans="1:1" ht="15.75" customHeight="1">
      <c r="A877" s="55"/>
    </row>
    <row r="878" spans="1:1" ht="15.75" customHeight="1">
      <c r="A878" s="55"/>
    </row>
    <row r="879" spans="1:1" ht="15.75" customHeight="1">
      <c r="A879" s="55"/>
    </row>
    <row r="880" spans="1:1" ht="15.75" customHeight="1">
      <c r="A880" s="55"/>
    </row>
    <row r="881" spans="1:1" ht="15.75" customHeight="1">
      <c r="A881" s="55"/>
    </row>
    <row r="882" spans="1:1" ht="15.75" customHeight="1">
      <c r="A882" s="55"/>
    </row>
    <row r="883" spans="1:1" ht="15.75" customHeight="1">
      <c r="A883" s="55"/>
    </row>
    <row r="884" spans="1:1" ht="15.75" customHeight="1">
      <c r="A884" s="55"/>
    </row>
    <row r="885" spans="1:1" ht="15.75" customHeight="1">
      <c r="A885" s="55"/>
    </row>
    <row r="886" spans="1:1" ht="15.75" customHeight="1">
      <c r="A886" s="55"/>
    </row>
    <row r="887" spans="1:1" ht="15.75" customHeight="1">
      <c r="A887" s="55"/>
    </row>
    <row r="888" spans="1:1" ht="15.75" customHeight="1">
      <c r="A888" s="55"/>
    </row>
    <row r="889" spans="1:1" ht="15.75" customHeight="1">
      <c r="A889" s="55"/>
    </row>
    <row r="890" spans="1:1" ht="15.75" customHeight="1">
      <c r="A890" s="55"/>
    </row>
    <row r="891" spans="1:1" ht="15.75" customHeight="1">
      <c r="A891" s="55"/>
    </row>
    <row r="892" spans="1:1" ht="15.75" customHeight="1">
      <c r="A892" s="55"/>
    </row>
    <row r="893" spans="1:1" ht="15.75" customHeight="1">
      <c r="A893" s="55"/>
    </row>
    <row r="894" spans="1:1" ht="15.75" customHeight="1">
      <c r="A894" s="55"/>
    </row>
    <row r="895" spans="1:1" ht="15.75" customHeight="1">
      <c r="A895" s="55"/>
    </row>
    <row r="896" spans="1:1" ht="15.75" customHeight="1">
      <c r="A896" s="55"/>
    </row>
    <row r="897" spans="1:1" ht="15.75" customHeight="1">
      <c r="A897" s="55"/>
    </row>
    <row r="898" spans="1:1" ht="15.75" customHeight="1">
      <c r="A898" s="55"/>
    </row>
    <row r="899" spans="1:1" ht="15.75" customHeight="1">
      <c r="A899" s="55"/>
    </row>
    <row r="900" spans="1:1" ht="15.75" customHeight="1">
      <c r="A900" s="55"/>
    </row>
    <row r="901" spans="1:1" ht="15.75" customHeight="1">
      <c r="A901" s="55"/>
    </row>
    <row r="902" spans="1:1" ht="15.75" customHeight="1">
      <c r="A902" s="55"/>
    </row>
    <row r="903" spans="1:1" ht="15.75" customHeight="1">
      <c r="A903" s="55"/>
    </row>
    <row r="904" spans="1:1" ht="15.75" customHeight="1">
      <c r="A904" s="55"/>
    </row>
    <row r="905" spans="1:1" ht="15.75" customHeight="1">
      <c r="A905" s="55"/>
    </row>
    <row r="906" spans="1:1" ht="15.75" customHeight="1">
      <c r="A906" s="55"/>
    </row>
    <row r="907" spans="1:1" ht="15.75" customHeight="1">
      <c r="A907" s="55"/>
    </row>
    <row r="908" spans="1:1" ht="15.75" customHeight="1">
      <c r="A908" s="55"/>
    </row>
    <row r="909" spans="1:1" ht="15.75" customHeight="1">
      <c r="A909" s="55"/>
    </row>
    <row r="910" spans="1:1" ht="15.75" customHeight="1">
      <c r="A910" s="55"/>
    </row>
    <row r="911" spans="1:1" ht="15.75" customHeight="1">
      <c r="A911" s="55"/>
    </row>
    <row r="912" spans="1:1" ht="15.75" customHeight="1">
      <c r="A912" s="55"/>
    </row>
    <row r="913" spans="1:1" ht="15.75" customHeight="1">
      <c r="A913" s="55"/>
    </row>
    <row r="914" spans="1:1" ht="15.75" customHeight="1">
      <c r="A914" s="55"/>
    </row>
    <row r="915" spans="1:1" ht="15.75" customHeight="1">
      <c r="A915" s="55"/>
    </row>
    <row r="916" spans="1:1" ht="15.75" customHeight="1">
      <c r="A916" s="55"/>
    </row>
    <row r="917" spans="1:1" ht="15.75" customHeight="1">
      <c r="A917" s="55"/>
    </row>
    <row r="918" spans="1:1" ht="15.75" customHeight="1">
      <c r="A918" s="55"/>
    </row>
    <row r="919" spans="1:1" ht="15.75" customHeight="1">
      <c r="A919" s="55"/>
    </row>
    <row r="920" spans="1:1" ht="15.75" customHeight="1">
      <c r="A920" s="55"/>
    </row>
    <row r="921" spans="1:1" ht="15.75" customHeight="1">
      <c r="A921" s="55"/>
    </row>
    <row r="922" spans="1:1" ht="15.75" customHeight="1">
      <c r="A922" s="55"/>
    </row>
    <row r="923" spans="1:1" ht="15.75" customHeight="1">
      <c r="A923" s="55"/>
    </row>
    <row r="924" spans="1:1" ht="15.75" customHeight="1">
      <c r="A924" s="55"/>
    </row>
    <row r="925" spans="1:1" ht="15.75" customHeight="1">
      <c r="A925" s="55"/>
    </row>
    <row r="926" spans="1:1" ht="15.75" customHeight="1">
      <c r="A926" s="55"/>
    </row>
    <row r="927" spans="1:1" ht="15.75" customHeight="1">
      <c r="A927" s="55"/>
    </row>
    <row r="928" spans="1:1" ht="15.75" customHeight="1">
      <c r="A928" s="55"/>
    </row>
    <row r="929" spans="1:1" ht="15.75" customHeight="1">
      <c r="A929" s="55"/>
    </row>
    <row r="930" spans="1:1" ht="15.75" customHeight="1">
      <c r="A930" s="55"/>
    </row>
    <row r="931" spans="1:1" ht="15.75" customHeight="1">
      <c r="A931" s="55"/>
    </row>
    <row r="932" spans="1:1" ht="15.75" customHeight="1">
      <c r="A932" s="55"/>
    </row>
    <row r="933" spans="1:1" ht="15.75" customHeight="1">
      <c r="A933" s="55"/>
    </row>
    <row r="934" spans="1:1" ht="15.75" customHeight="1">
      <c r="A934" s="55"/>
    </row>
    <row r="935" spans="1:1" ht="15.75" customHeight="1">
      <c r="A935" s="55"/>
    </row>
    <row r="936" spans="1:1" ht="15.75" customHeight="1">
      <c r="A936" s="55"/>
    </row>
    <row r="937" spans="1:1" ht="15.75" customHeight="1">
      <c r="A937" s="55"/>
    </row>
    <row r="938" spans="1:1" ht="15.75" customHeight="1">
      <c r="A938" s="55"/>
    </row>
    <row r="939" spans="1:1" ht="15.75" customHeight="1">
      <c r="A939" s="55"/>
    </row>
    <row r="940" spans="1:1" ht="15.75" customHeight="1">
      <c r="A940" s="55"/>
    </row>
    <row r="941" spans="1:1" ht="15.75" customHeight="1">
      <c r="A941" s="55"/>
    </row>
    <row r="942" spans="1:1" ht="15.75" customHeight="1">
      <c r="A942" s="55"/>
    </row>
    <row r="943" spans="1:1" ht="15.75" customHeight="1">
      <c r="A943" s="55"/>
    </row>
    <row r="944" spans="1:1" ht="15.75" customHeight="1">
      <c r="A944" s="55"/>
    </row>
    <row r="945" spans="1:1" ht="15.75" customHeight="1">
      <c r="A945" s="55"/>
    </row>
    <row r="946" spans="1:1" ht="15.75" customHeight="1">
      <c r="A946" s="55"/>
    </row>
    <row r="947" spans="1:1" ht="15.75" customHeight="1">
      <c r="A947" s="55"/>
    </row>
    <row r="948" spans="1:1" ht="15.75" customHeight="1">
      <c r="A948" s="55"/>
    </row>
    <row r="949" spans="1:1" ht="15.75" customHeight="1">
      <c r="A949" s="55"/>
    </row>
    <row r="950" spans="1:1" ht="15.75" customHeight="1">
      <c r="A950" s="55"/>
    </row>
    <row r="951" spans="1:1" ht="15.75" customHeight="1">
      <c r="A951" s="55"/>
    </row>
    <row r="952" spans="1:1" ht="15.75" customHeight="1">
      <c r="A952" s="55"/>
    </row>
    <row r="953" spans="1:1" ht="15.75" customHeight="1">
      <c r="A953" s="55"/>
    </row>
    <row r="954" spans="1:1" ht="15.75" customHeight="1">
      <c r="A954" s="55"/>
    </row>
    <row r="955" spans="1:1" ht="15.75" customHeight="1">
      <c r="A955" s="55"/>
    </row>
    <row r="956" spans="1:1" ht="15.75" customHeight="1">
      <c r="A956" s="55"/>
    </row>
    <row r="957" spans="1:1" ht="15.75" customHeight="1">
      <c r="A957" s="55"/>
    </row>
    <row r="958" spans="1:1" ht="15.75" customHeight="1">
      <c r="A958" s="55"/>
    </row>
    <row r="959" spans="1:1" ht="15.75" customHeight="1">
      <c r="A959" s="55"/>
    </row>
    <row r="960" spans="1:1" ht="15.75" customHeight="1">
      <c r="A960" s="55"/>
    </row>
    <row r="961" spans="1:1" ht="15.75" customHeight="1">
      <c r="A961" s="55"/>
    </row>
    <row r="962" spans="1:1" ht="15.75" customHeight="1">
      <c r="A962" s="55"/>
    </row>
    <row r="963" spans="1:1" ht="15.75" customHeight="1">
      <c r="A963" s="55"/>
    </row>
    <row r="964" spans="1:1" ht="15.75" customHeight="1">
      <c r="A964" s="55"/>
    </row>
    <row r="965" spans="1:1" ht="15.75" customHeight="1">
      <c r="A965" s="55"/>
    </row>
    <row r="966" spans="1:1" ht="15.75" customHeight="1">
      <c r="A966" s="55"/>
    </row>
    <row r="967" spans="1:1" ht="15.75" customHeight="1">
      <c r="A967" s="55"/>
    </row>
    <row r="968" spans="1:1" ht="15.75" customHeight="1">
      <c r="A968" s="55"/>
    </row>
    <row r="969" spans="1:1" ht="15.75" customHeight="1">
      <c r="A969" s="55"/>
    </row>
    <row r="970" spans="1:1" ht="15.75" customHeight="1">
      <c r="A970" s="55"/>
    </row>
    <row r="971" spans="1:1" ht="15.75" customHeight="1">
      <c r="A971" s="55"/>
    </row>
    <row r="972" spans="1:1" ht="15.75" customHeight="1">
      <c r="A972" s="55"/>
    </row>
    <row r="973" spans="1:1" ht="15.75" customHeight="1">
      <c r="A973" s="55"/>
    </row>
    <row r="974" spans="1:1" ht="15.75" customHeight="1">
      <c r="A974" s="55"/>
    </row>
    <row r="975" spans="1:1" ht="15.75" customHeight="1">
      <c r="A975" s="55"/>
    </row>
    <row r="976" spans="1:1" ht="15.75" customHeight="1">
      <c r="A976" s="55"/>
    </row>
    <row r="977" spans="1:1" ht="15.75" customHeight="1">
      <c r="A977" s="55"/>
    </row>
    <row r="978" spans="1:1" ht="15.75" customHeight="1">
      <c r="A978" s="55"/>
    </row>
    <row r="979" spans="1:1" ht="15.75" customHeight="1">
      <c r="A979" s="55"/>
    </row>
    <row r="980" spans="1:1" ht="15.75" customHeight="1">
      <c r="A980" s="55"/>
    </row>
    <row r="981" spans="1:1" ht="15.75" customHeight="1">
      <c r="A981" s="55"/>
    </row>
    <row r="982" spans="1:1" ht="15.75" customHeight="1">
      <c r="A982" s="55"/>
    </row>
    <row r="983" spans="1:1" ht="15.75" customHeight="1">
      <c r="A983" s="55"/>
    </row>
    <row r="984" spans="1:1" ht="15.75" customHeight="1">
      <c r="A984" s="55"/>
    </row>
    <row r="985" spans="1:1" ht="15.75" customHeight="1">
      <c r="A985" s="55"/>
    </row>
    <row r="986" spans="1:1" ht="15.75" customHeight="1">
      <c r="A986" s="55"/>
    </row>
    <row r="987" spans="1:1" ht="15.75" customHeight="1">
      <c r="A987" s="55"/>
    </row>
    <row r="988" spans="1:1" ht="15.75" customHeight="1">
      <c r="A988" s="55"/>
    </row>
    <row r="989" spans="1:1" ht="15.75" customHeight="1">
      <c r="A989" s="55"/>
    </row>
    <row r="990" spans="1:1" ht="15.75" customHeight="1">
      <c r="A990" s="55"/>
    </row>
    <row r="991" spans="1:1" ht="15.75" customHeight="1">
      <c r="A991" s="55"/>
    </row>
    <row r="992" spans="1:1" ht="15.75" customHeight="1">
      <c r="A992" s="55"/>
    </row>
    <row r="993" spans="1:1" ht="15.75" customHeight="1">
      <c r="A993" s="55"/>
    </row>
    <row r="994" spans="1:1" ht="15.75" customHeight="1">
      <c r="A994" s="55"/>
    </row>
    <row r="995" spans="1:1" ht="15.75" customHeight="1">
      <c r="A995" s="55"/>
    </row>
    <row r="996" spans="1:1" ht="15.75" customHeight="1">
      <c r="A996" s="55"/>
    </row>
    <row r="997" spans="1:1" ht="15.75" customHeight="1">
      <c r="A997" s="55"/>
    </row>
    <row r="998" spans="1:1" ht="15.75" customHeight="1">
      <c r="A998" s="55"/>
    </row>
    <row r="999" spans="1:1" ht="15.75" customHeight="1">
      <c r="A999" s="55"/>
    </row>
    <row r="1000" spans="1:1" ht="15.75" customHeight="1">
      <c r="A1000" s="55"/>
    </row>
    <row r="1001" spans="1:1" ht="15.75" customHeight="1">
      <c r="A1001" s="55"/>
    </row>
    <row r="1002" spans="1:1" ht="15.75" customHeight="1">
      <c r="A1002" s="55"/>
    </row>
    <row r="1003" spans="1:1" ht="15.75" customHeight="1">
      <c r="A1003" s="55"/>
    </row>
    <row r="1004" spans="1:1" ht="15.75" customHeight="1">
      <c r="A1004" s="55"/>
    </row>
    <row r="1005" spans="1:1" ht="15.75" customHeight="1">
      <c r="A1005" s="55"/>
    </row>
    <row r="1006" spans="1:1" ht="15.75" customHeight="1">
      <c r="A1006" s="55"/>
    </row>
    <row r="1007" spans="1:1" ht="15.75" customHeight="1">
      <c r="A1007" s="55"/>
    </row>
    <row r="1008" spans="1:1" ht="15.75" customHeight="1">
      <c r="A1008" s="55"/>
    </row>
  </sheetData>
  <mergeCells count="7">
    <mergeCell ref="I9:I10"/>
    <mergeCell ref="A1:H1"/>
    <mergeCell ref="A9:A10"/>
    <mergeCell ref="B9:B10"/>
    <mergeCell ref="C9:C10"/>
    <mergeCell ref="D9:D10"/>
    <mergeCell ref="E9:G9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53125" defaultRowHeight="15" customHeight="1"/>
  <cols>
    <col min="1" max="1" width="17" customWidth="1"/>
    <col min="2" max="2" width="21.81640625" customWidth="1"/>
    <col min="3" max="3" width="31.54296875" customWidth="1"/>
    <col min="4" max="8" width="14.81640625" customWidth="1"/>
    <col min="9" max="10" width="19.453125" customWidth="1"/>
    <col min="11" max="26" width="8.7265625" customWidth="1"/>
  </cols>
  <sheetData>
    <row r="1" spans="1:11" ht="29">
      <c r="A1" s="57" t="s">
        <v>302</v>
      </c>
      <c r="B1" s="57" t="s">
        <v>303</v>
      </c>
      <c r="C1" s="57" t="s">
        <v>304</v>
      </c>
      <c r="I1" s="85" t="s">
        <v>305</v>
      </c>
      <c r="J1" s="85" t="s">
        <v>306</v>
      </c>
      <c r="K1" s="85" t="s">
        <v>307</v>
      </c>
    </row>
    <row r="2" spans="1:11" ht="14.5">
      <c r="C2" s="57" t="s">
        <v>308</v>
      </c>
      <c r="D2" s="57" t="s">
        <v>309</v>
      </c>
      <c r="E2" s="57" t="s">
        <v>310</v>
      </c>
      <c r="F2" s="57" t="s">
        <v>311</v>
      </c>
      <c r="G2" s="57" t="s">
        <v>312</v>
      </c>
      <c r="H2" s="57" t="s">
        <v>313</v>
      </c>
      <c r="I2" s="86" t="s">
        <v>55</v>
      </c>
      <c r="J2" s="87" t="s">
        <v>280</v>
      </c>
      <c r="K2" s="87" t="s">
        <v>314</v>
      </c>
    </row>
    <row r="3" spans="1:11" ht="14.5">
      <c r="A3" s="57" t="s">
        <v>51</v>
      </c>
      <c r="B3" s="57" t="s">
        <v>282</v>
      </c>
      <c r="I3" s="87"/>
      <c r="J3" s="87" t="s">
        <v>315</v>
      </c>
      <c r="K3" s="87" t="s">
        <v>314</v>
      </c>
    </row>
    <row r="4" spans="1:11" ht="29">
      <c r="B4" s="57" t="s">
        <v>316</v>
      </c>
      <c r="I4" s="87"/>
      <c r="J4" s="87" t="s">
        <v>281</v>
      </c>
      <c r="K4" s="87" t="s">
        <v>317</v>
      </c>
    </row>
    <row r="5" spans="1:11" ht="29">
      <c r="A5" s="57" t="s">
        <v>53</v>
      </c>
      <c r="B5" s="57" t="s">
        <v>55</v>
      </c>
      <c r="I5" s="87"/>
      <c r="J5" s="87" t="s">
        <v>282</v>
      </c>
      <c r="K5" s="87" t="s">
        <v>318</v>
      </c>
    </row>
    <row r="6" spans="1:11" ht="29">
      <c r="B6" s="57" t="s">
        <v>72</v>
      </c>
      <c r="I6" s="87"/>
      <c r="J6" s="87" t="s">
        <v>316</v>
      </c>
      <c r="K6" s="87" t="s">
        <v>319</v>
      </c>
    </row>
    <row r="7" spans="1:11" ht="29">
      <c r="B7" s="57" t="s">
        <v>63</v>
      </c>
      <c r="I7" s="87"/>
      <c r="J7" s="87" t="s">
        <v>320</v>
      </c>
      <c r="K7" s="87" t="s">
        <v>319</v>
      </c>
    </row>
    <row r="8" spans="1:11" ht="14.5">
      <c r="B8" s="57" t="s">
        <v>66</v>
      </c>
      <c r="I8" s="86" t="s">
        <v>70</v>
      </c>
      <c r="J8" s="87" t="s">
        <v>315</v>
      </c>
      <c r="K8" s="87" t="s">
        <v>314</v>
      </c>
    </row>
    <row r="9" spans="1:11" ht="29">
      <c r="A9" s="57" t="s">
        <v>46</v>
      </c>
      <c r="B9" s="57" t="s">
        <v>281</v>
      </c>
      <c r="I9" s="87"/>
      <c r="J9" s="87" t="s">
        <v>321</v>
      </c>
      <c r="K9" s="87" t="s">
        <v>317</v>
      </c>
    </row>
    <row r="10" spans="1:11" ht="14.5">
      <c r="B10" s="57" t="s">
        <v>282</v>
      </c>
      <c r="I10" s="86" t="s">
        <v>71</v>
      </c>
      <c r="J10" s="87" t="s">
        <v>322</v>
      </c>
      <c r="K10" s="87" t="s">
        <v>314</v>
      </c>
    </row>
    <row r="11" spans="1:11" ht="14.5">
      <c r="B11" s="57" t="s">
        <v>316</v>
      </c>
      <c r="I11" s="87"/>
      <c r="J11" s="87" t="s">
        <v>323</v>
      </c>
      <c r="K11" s="87" t="s">
        <v>314</v>
      </c>
    </row>
    <row r="12" spans="1:11" ht="29">
      <c r="B12" s="57" t="s">
        <v>324</v>
      </c>
      <c r="I12" s="87"/>
      <c r="J12" s="87" t="s">
        <v>325</v>
      </c>
      <c r="K12" s="87" t="s">
        <v>317</v>
      </c>
    </row>
    <row r="13" spans="1:11" ht="29">
      <c r="A13" s="57" t="s">
        <v>71</v>
      </c>
      <c r="B13" s="57" t="s">
        <v>326</v>
      </c>
      <c r="I13" s="87"/>
      <c r="J13" s="87" t="s">
        <v>282</v>
      </c>
      <c r="K13" s="87" t="s">
        <v>318</v>
      </c>
    </row>
    <row r="14" spans="1:11" ht="29">
      <c r="B14" s="57" t="s">
        <v>282</v>
      </c>
      <c r="I14" s="87"/>
      <c r="J14" s="87" t="s">
        <v>316</v>
      </c>
      <c r="K14" s="87" t="s">
        <v>319</v>
      </c>
    </row>
    <row r="15" spans="1:11" ht="29">
      <c r="B15" s="57" t="s">
        <v>316</v>
      </c>
      <c r="I15" s="87"/>
      <c r="J15" s="87" t="s">
        <v>320</v>
      </c>
      <c r="K15" s="87" t="s">
        <v>319</v>
      </c>
    </row>
    <row r="16" spans="1:11" ht="14.5">
      <c r="B16" s="57" t="s">
        <v>324</v>
      </c>
      <c r="I16" s="86" t="s">
        <v>62</v>
      </c>
      <c r="J16" s="87" t="s">
        <v>323</v>
      </c>
      <c r="K16" s="87" t="s">
        <v>314</v>
      </c>
    </row>
    <row r="17" spans="1:11" ht="29">
      <c r="A17" s="57" t="s">
        <v>114</v>
      </c>
      <c r="B17" s="57" t="s">
        <v>327</v>
      </c>
      <c r="I17" s="87"/>
      <c r="J17" s="87" t="s">
        <v>328</v>
      </c>
      <c r="K17" s="87" t="s">
        <v>317</v>
      </c>
    </row>
    <row r="18" spans="1:11" ht="14.5">
      <c r="B18" s="57" t="s">
        <v>58</v>
      </c>
      <c r="I18" s="86" t="s">
        <v>74</v>
      </c>
      <c r="J18" s="87" t="s">
        <v>329</v>
      </c>
      <c r="K18" s="87" t="s">
        <v>314</v>
      </c>
    </row>
    <row r="19" spans="1:11" ht="14.5">
      <c r="B19" s="57" t="s">
        <v>65</v>
      </c>
      <c r="I19" s="87"/>
      <c r="J19" s="87" t="s">
        <v>280</v>
      </c>
      <c r="K19" s="87" t="s">
        <v>314</v>
      </c>
    </row>
    <row r="20" spans="1:11" ht="14.5">
      <c r="B20" s="57" t="s">
        <v>59</v>
      </c>
      <c r="I20" s="87"/>
      <c r="J20" s="87" t="s">
        <v>322</v>
      </c>
      <c r="K20" s="87" t="s">
        <v>314</v>
      </c>
    </row>
    <row r="21" spans="1:11" ht="15.75" customHeight="1">
      <c r="B21" s="57" t="s">
        <v>330</v>
      </c>
      <c r="I21" s="87"/>
      <c r="J21" s="87" t="s">
        <v>320</v>
      </c>
      <c r="K21" s="87" t="s">
        <v>317</v>
      </c>
    </row>
    <row r="22" spans="1:11" ht="15.75" customHeight="1">
      <c r="B22" s="57" t="s">
        <v>331</v>
      </c>
      <c r="I22" s="86" t="s">
        <v>75</v>
      </c>
      <c r="J22" s="87" t="s">
        <v>332</v>
      </c>
      <c r="K22" s="87" t="s">
        <v>314</v>
      </c>
    </row>
    <row r="23" spans="1:11" ht="15.75" customHeight="1">
      <c r="A23" s="57" t="s">
        <v>333</v>
      </c>
      <c r="B23" s="57" t="s">
        <v>334</v>
      </c>
      <c r="I23" s="87"/>
      <c r="J23" s="87" t="s">
        <v>329</v>
      </c>
      <c r="K23" s="87" t="s">
        <v>314</v>
      </c>
    </row>
    <row r="24" spans="1:11" ht="15.75" customHeight="1">
      <c r="A24" s="57" t="s">
        <v>335</v>
      </c>
      <c r="B24" s="57" t="s">
        <v>334</v>
      </c>
      <c r="I24" s="87"/>
      <c r="J24" s="87" t="s">
        <v>336</v>
      </c>
      <c r="K24" s="87" t="s">
        <v>314</v>
      </c>
    </row>
    <row r="25" spans="1:11" ht="15.75" customHeight="1">
      <c r="B25" s="57" t="s">
        <v>324</v>
      </c>
      <c r="I25" s="87"/>
      <c r="J25" s="87" t="s">
        <v>337</v>
      </c>
      <c r="K25" s="87" t="s">
        <v>338</v>
      </c>
    </row>
    <row r="26" spans="1:11" ht="15.75" customHeight="1">
      <c r="A26" s="57" t="s">
        <v>74</v>
      </c>
      <c r="B26" s="57" t="s">
        <v>339</v>
      </c>
      <c r="I26" s="87"/>
      <c r="J26" s="87" t="s">
        <v>340</v>
      </c>
      <c r="K26" s="87" t="s">
        <v>338</v>
      </c>
    </row>
    <row r="27" spans="1:11" ht="15.75" customHeight="1">
      <c r="B27" s="57" t="s">
        <v>326</v>
      </c>
      <c r="I27" s="86" t="s">
        <v>73</v>
      </c>
      <c r="J27" s="87" t="s">
        <v>336</v>
      </c>
      <c r="K27" s="87" t="s">
        <v>314</v>
      </c>
    </row>
    <row r="28" spans="1:11" ht="15.75" customHeight="1">
      <c r="B28" s="57" t="s">
        <v>281</v>
      </c>
      <c r="I28" s="87"/>
      <c r="J28" s="87" t="s">
        <v>341</v>
      </c>
      <c r="K28" s="87" t="s">
        <v>314</v>
      </c>
    </row>
    <row r="29" spans="1:11" ht="15.75" customHeight="1">
      <c r="B29" s="57" t="s">
        <v>327</v>
      </c>
      <c r="I29" s="87"/>
      <c r="J29" s="87" t="s">
        <v>342</v>
      </c>
      <c r="K29" s="87" t="s">
        <v>314</v>
      </c>
    </row>
    <row r="30" spans="1:11" ht="15.75" customHeight="1">
      <c r="B30" s="57" t="s">
        <v>343</v>
      </c>
      <c r="I30" s="87"/>
      <c r="J30" s="87" t="s">
        <v>344</v>
      </c>
      <c r="K30" s="87" t="s">
        <v>317</v>
      </c>
    </row>
    <row r="31" spans="1:11" ht="15.75" customHeight="1">
      <c r="B31" s="57" t="s">
        <v>345</v>
      </c>
      <c r="I31" s="87"/>
      <c r="J31" s="87" t="s">
        <v>346</v>
      </c>
      <c r="K31" s="87" t="s">
        <v>318</v>
      </c>
    </row>
    <row r="32" spans="1:11" ht="15.75" customHeight="1">
      <c r="A32" s="57" t="s">
        <v>347</v>
      </c>
      <c r="B32" s="57" t="s">
        <v>348</v>
      </c>
      <c r="I32" s="87"/>
      <c r="J32" s="87" t="s">
        <v>349</v>
      </c>
      <c r="K32" s="87" t="s">
        <v>314</v>
      </c>
    </row>
    <row r="33" spans="1:11" ht="15.75" customHeight="1">
      <c r="A33" s="57" t="s">
        <v>313</v>
      </c>
      <c r="B33" s="57" t="s">
        <v>350</v>
      </c>
      <c r="I33" s="87"/>
      <c r="J33" s="87" t="s">
        <v>351</v>
      </c>
      <c r="K33" s="87" t="s">
        <v>338</v>
      </c>
    </row>
    <row r="34" spans="1:11" ht="15.75" customHeight="1">
      <c r="A34" s="57" t="s">
        <v>352</v>
      </c>
      <c r="I34" s="87"/>
      <c r="J34" s="87" t="s">
        <v>320</v>
      </c>
      <c r="K34" s="87" t="s">
        <v>353</v>
      </c>
    </row>
    <row r="35" spans="1:11" ht="15.75" customHeight="1">
      <c r="I35" s="86" t="s">
        <v>58</v>
      </c>
      <c r="J35" s="87" t="s">
        <v>341</v>
      </c>
      <c r="K35" s="87" t="s">
        <v>314</v>
      </c>
    </row>
    <row r="36" spans="1:11" ht="15.75" customHeight="1">
      <c r="I36" s="87"/>
      <c r="J36" s="87" t="s">
        <v>334</v>
      </c>
      <c r="K36" s="87" t="s">
        <v>317</v>
      </c>
    </row>
    <row r="37" spans="1:11" ht="15.75" customHeight="1">
      <c r="I37" s="86" t="s">
        <v>65</v>
      </c>
      <c r="J37" s="87" t="s">
        <v>342</v>
      </c>
      <c r="K37" s="87" t="s">
        <v>314</v>
      </c>
    </row>
    <row r="38" spans="1:11" ht="15.75" customHeight="1">
      <c r="I38" s="87"/>
      <c r="J38" s="87" t="s">
        <v>354</v>
      </c>
      <c r="K38" s="87" t="s">
        <v>317</v>
      </c>
    </row>
    <row r="39" spans="1:11" ht="15.75" customHeight="1">
      <c r="I39" s="86" t="s">
        <v>355</v>
      </c>
      <c r="J39" s="87" t="s">
        <v>349</v>
      </c>
      <c r="K39" s="87" t="s">
        <v>314</v>
      </c>
    </row>
    <row r="40" spans="1:11" ht="15.75" customHeight="1">
      <c r="I40" s="87"/>
      <c r="J40" s="87" t="s">
        <v>356</v>
      </c>
      <c r="K40" s="87" t="s">
        <v>317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axioo</cp:lastModifiedBy>
  <dcterms:created xsi:type="dcterms:W3CDTF">2025-08-13T03:57:14Z</dcterms:created>
  <dcterms:modified xsi:type="dcterms:W3CDTF">2026-10-06T00:50:51Z</dcterms:modified>
</cp:coreProperties>
</file>